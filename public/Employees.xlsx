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fdc6ffd92116bab/Desktop/LOUIS NEW BEGINNINGS/BUSHVELD SECURITY/SECURITY_PROGRAM/public/"/>
    </mc:Choice>
  </mc:AlternateContent>
  <xr:revisionPtr revIDLastSave="7" documentId="8_{84A3718B-4A49-442F-8371-F7AFA55AAEB4}" xr6:coauthVersionLast="47" xr6:coauthVersionMax="47" xr10:uidLastSave="{DFD17D4F-DC3D-4287-99B0-09FB6650F618}"/>
  <bookViews>
    <workbookView xWindow="-110" yWindow="-110" windowWidth="19420" windowHeight="10300" activeTab="2" xr2:uid="{F92A0977-F759-4F87-981D-B9B53F279CF8}"/>
  </bookViews>
  <sheets>
    <sheet name="BVSG days Rest and leave" sheetId="1" r:id="rId1"/>
    <sheet name="BVSG Sites and Guards" sheetId="3" r:id="rId2"/>
    <sheet name="BVSG days Rest and leave Okt 20" sheetId="4" r:id="rId3"/>
    <sheet name="Sheet1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94" i="4" l="1"/>
  <c r="I94" i="4"/>
  <c r="L93" i="4"/>
  <c r="I93" i="4"/>
  <c r="L92" i="4"/>
  <c r="I92" i="4"/>
  <c r="L91" i="4"/>
  <c r="I91" i="4"/>
  <c r="L90" i="4"/>
  <c r="I90" i="4"/>
  <c r="M89" i="4"/>
  <c r="L89" i="4"/>
  <c r="I89" i="4"/>
  <c r="L88" i="4"/>
  <c r="I88" i="4"/>
  <c r="L87" i="4"/>
  <c r="I87" i="4"/>
  <c r="L86" i="4"/>
  <c r="I86" i="4"/>
  <c r="L85" i="4"/>
  <c r="I85" i="4"/>
  <c r="L84" i="4"/>
  <c r="M84" i="4" s="1"/>
  <c r="I84" i="4"/>
  <c r="L83" i="4"/>
  <c r="I83" i="4"/>
  <c r="L82" i="4"/>
  <c r="I82" i="4"/>
  <c r="L81" i="4"/>
  <c r="M81" i="4" s="1"/>
  <c r="I81" i="4"/>
  <c r="L80" i="4"/>
  <c r="I80" i="4"/>
  <c r="M79" i="4"/>
  <c r="L79" i="4"/>
  <c r="I79" i="4"/>
  <c r="L78" i="4"/>
  <c r="M78" i="4" s="1"/>
  <c r="I78" i="4"/>
  <c r="L77" i="4"/>
  <c r="M77" i="4" s="1"/>
  <c r="I77" i="4"/>
  <c r="L76" i="4"/>
  <c r="I76" i="4"/>
  <c r="L75" i="4"/>
  <c r="I75" i="4"/>
  <c r="M74" i="4"/>
  <c r="L74" i="4"/>
  <c r="I74" i="4"/>
  <c r="L73" i="4"/>
  <c r="I73" i="4"/>
  <c r="L72" i="4"/>
  <c r="M72" i="4" s="1"/>
  <c r="I72" i="4"/>
  <c r="M71" i="4"/>
  <c r="L71" i="4"/>
  <c r="I71" i="4"/>
  <c r="L70" i="4"/>
  <c r="I70" i="4"/>
  <c r="L69" i="4"/>
  <c r="I69" i="4"/>
  <c r="L68" i="4"/>
  <c r="M68" i="4" s="1"/>
  <c r="I68" i="4"/>
  <c r="L67" i="4"/>
  <c r="I67" i="4"/>
  <c r="L66" i="4"/>
  <c r="I66" i="4"/>
  <c r="L65" i="4"/>
  <c r="I65" i="4"/>
  <c r="L64" i="4"/>
  <c r="I64" i="4"/>
  <c r="L63" i="4"/>
  <c r="I63" i="4"/>
  <c r="L62" i="4"/>
  <c r="M62" i="4" s="1"/>
  <c r="I62" i="4"/>
  <c r="L61" i="4"/>
  <c r="I61" i="4"/>
  <c r="M60" i="4"/>
  <c r="L60" i="4"/>
  <c r="I60" i="4"/>
  <c r="L59" i="4"/>
  <c r="I59" i="4"/>
  <c r="L58" i="4"/>
  <c r="I58" i="4"/>
  <c r="L57" i="4"/>
  <c r="I57" i="4"/>
  <c r="L56" i="4"/>
  <c r="I56" i="4"/>
  <c r="L55" i="4"/>
  <c r="I55" i="4"/>
  <c r="L54" i="4"/>
  <c r="I54" i="4"/>
  <c r="L53" i="4"/>
  <c r="I53" i="4"/>
  <c r="L52" i="4"/>
  <c r="I52" i="4"/>
  <c r="L51" i="4"/>
  <c r="I51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M44" i="4" s="1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M35" i="4"/>
  <c r="L35" i="4"/>
  <c r="I35" i="4"/>
  <c r="L34" i="4"/>
  <c r="I34" i="4"/>
  <c r="L33" i="4"/>
  <c r="I33" i="4"/>
  <c r="L32" i="4"/>
  <c r="I32" i="4"/>
  <c r="L31" i="4"/>
  <c r="M31" i="4" s="1"/>
  <c r="I31" i="4"/>
  <c r="M30" i="4"/>
  <c r="L30" i="4"/>
  <c r="I30" i="4"/>
  <c r="L29" i="4"/>
  <c r="I29" i="4"/>
  <c r="L28" i="4"/>
  <c r="I28" i="4"/>
  <c r="L27" i="4"/>
  <c r="I27" i="4"/>
  <c r="L26" i="4"/>
  <c r="I26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8" i="4"/>
  <c r="I18" i="4"/>
  <c r="L17" i="4"/>
  <c r="I17" i="4"/>
  <c r="L16" i="4"/>
  <c r="I16" i="4"/>
  <c r="L15" i="4"/>
  <c r="I15" i="4"/>
  <c r="L14" i="4"/>
  <c r="M14" i="4" s="1"/>
  <c r="I14" i="4"/>
  <c r="L13" i="4"/>
  <c r="I13" i="4"/>
  <c r="L12" i="4"/>
  <c r="I12" i="4"/>
  <c r="M11" i="4"/>
  <c r="L11" i="4"/>
  <c r="I11" i="4"/>
  <c r="L10" i="4"/>
  <c r="I10" i="4"/>
  <c r="L9" i="4"/>
  <c r="I9" i="4"/>
  <c r="L8" i="4"/>
  <c r="I8" i="4"/>
  <c r="L7" i="4"/>
  <c r="I7" i="4"/>
  <c r="L6" i="4"/>
  <c r="I6" i="4"/>
  <c r="L5" i="4"/>
  <c r="M5" i="4" s="1"/>
  <c r="I5" i="4"/>
  <c r="L4" i="4"/>
  <c r="I4" i="4"/>
  <c r="L3" i="4"/>
  <c r="I3" i="4"/>
  <c r="M75" i="1" l="1"/>
  <c r="I86" i="1" l="1"/>
  <c r="I87" i="1"/>
  <c r="I88" i="1"/>
  <c r="I89" i="1"/>
  <c r="I91" i="1" l="1"/>
  <c r="I92" i="1"/>
  <c r="I93" i="1"/>
  <c r="I94" i="1"/>
  <c r="I95" i="1"/>
  <c r="M82" i="1" l="1"/>
  <c r="M61" i="1"/>
  <c r="M15" i="1"/>
  <c r="L79" i="1"/>
  <c r="M79" i="1" s="1"/>
  <c r="L64" i="1"/>
  <c r="I64" i="1"/>
  <c r="I69" i="1"/>
  <c r="I70" i="1"/>
  <c r="I71" i="1"/>
  <c r="I55" i="1"/>
  <c r="I56" i="1"/>
  <c r="I57" i="1"/>
  <c r="I58" i="1"/>
  <c r="I59" i="1"/>
  <c r="I60" i="1"/>
  <c r="I61" i="1"/>
  <c r="I62" i="1"/>
  <c r="I63" i="1"/>
  <c r="I65" i="1"/>
  <c r="I66" i="1"/>
  <c r="I67" i="1"/>
  <c r="I68" i="1"/>
  <c r="I72" i="1"/>
  <c r="I73" i="1"/>
  <c r="I74" i="1"/>
  <c r="I75" i="1"/>
  <c r="L95" i="1"/>
  <c r="L94" i="1"/>
  <c r="L93" i="1"/>
  <c r="L92" i="1"/>
  <c r="L91" i="1"/>
  <c r="L90" i="1"/>
  <c r="M90" i="1" s="1"/>
  <c r="L89" i="1"/>
  <c r="L88" i="1"/>
  <c r="L87" i="1"/>
  <c r="L86" i="1"/>
  <c r="L85" i="1"/>
  <c r="M85" i="1" s="1"/>
  <c r="L84" i="1"/>
  <c r="L83" i="1"/>
  <c r="L82" i="1"/>
  <c r="L81" i="1"/>
  <c r="L80" i="1"/>
  <c r="M80" i="1" s="1"/>
  <c r="L78" i="1"/>
  <c r="M78" i="1" s="1"/>
  <c r="L77" i="1"/>
  <c r="L76" i="1"/>
  <c r="L75" i="1"/>
  <c r="L74" i="1"/>
  <c r="L73" i="1"/>
  <c r="M73" i="1" s="1"/>
  <c r="L72" i="1"/>
  <c r="M72" i="1" s="1"/>
  <c r="L71" i="1"/>
  <c r="L70" i="1"/>
  <c r="L69" i="1"/>
  <c r="M69" i="1" s="1"/>
  <c r="L68" i="1"/>
  <c r="L67" i="1"/>
  <c r="L66" i="1"/>
  <c r="L65" i="1"/>
  <c r="L63" i="1"/>
  <c r="M63" i="1" s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M45" i="1" s="1"/>
  <c r="L44" i="1"/>
  <c r="L43" i="1"/>
  <c r="L42" i="1"/>
  <c r="L41" i="1"/>
  <c r="L40" i="1"/>
  <c r="L39" i="1"/>
  <c r="L38" i="1"/>
  <c r="L37" i="1"/>
  <c r="L36" i="1"/>
  <c r="M36" i="1" s="1"/>
  <c r="L35" i="1"/>
  <c r="L34" i="1"/>
  <c r="L33" i="1"/>
  <c r="L32" i="1"/>
  <c r="M32" i="1" s="1"/>
  <c r="L31" i="1"/>
  <c r="M31" i="1" s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M12" i="1" s="1"/>
  <c r="L11" i="1"/>
  <c r="L10" i="1"/>
  <c r="L9" i="1"/>
  <c r="L8" i="1"/>
  <c r="L7" i="1"/>
  <c r="L6" i="1"/>
  <c r="M6" i="1" s="1"/>
  <c r="L5" i="1"/>
  <c r="L4" i="1"/>
  <c r="I85" i="1"/>
  <c r="I84" i="1"/>
  <c r="I83" i="1"/>
  <c r="I82" i="1"/>
  <c r="I81" i="1"/>
  <c r="I80" i="1"/>
  <c r="I79" i="1"/>
  <c r="I78" i="1"/>
  <c r="I77" i="1"/>
  <c r="I76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90" i="1"/>
  <c r="P94" i="2"/>
  <c r="P93" i="2"/>
  <c r="P92" i="2"/>
  <c r="P91" i="2"/>
  <c r="P90" i="2"/>
  <c r="P89" i="2"/>
  <c r="P88" i="2"/>
  <c r="P87" i="2"/>
  <c r="P86" i="2"/>
  <c r="P85" i="2"/>
  <c r="P84" i="2"/>
  <c r="P83" i="2"/>
  <c r="P82" i="2"/>
  <c r="P81" i="2"/>
  <c r="P80" i="2"/>
  <c r="P78" i="2"/>
  <c r="P77" i="2"/>
  <c r="P76" i="2"/>
  <c r="P75" i="2"/>
  <c r="P74" i="2"/>
  <c r="P73" i="2"/>
  <c r="P72" i="2"/>
  <c r="P71" i="2"/>
  <c r="P70" i="2"/>
  <c r="P69" i="2"/>
  <c r="P68" i="2"/>
  <c r="P67" i="2"/>
  <c r="P66" i="2"/>
  <c r="P65" i="2"/>
  <c r="P64" i="2"/>
  <c r="P63" i="2"/>
  <c r="P62" i="2"/>
  <c r="P61" i="2"/>
  <c r="P60" i="2"/>
  <c r="P59" i="2"/>
  <c r="P58" i="2"/>
  <c r="P57" i="2"/>
  <c r="P56" i="2"/>
  <c r="P55" i="2"/>
  <c r="P54" i="2"/>
  <c r="P53" i="2"/>
  <c r="P52" i="2"/>
  <c r="P51" i="2"/>
  <c r="N51" i="2"/>
  <c r="P50" i="2"/>
  <c r="P49" i="2"/>
  <c r="N49" i="2"/>
  <c r="P48" i="2"/>
  <c r="P47" i="2"/>
  <c r="P46" i="2"/>
  <c r="P45" i="2"/>
  <c r="P44" i="2"/>
  <c r="P43" i="2"/>
  <c r="N43" i="2"/>
  <c r="P42" i="2"/>
  <c r="P41" i="2"/>
  <c r="P40" i="2"/>
  <c r="P39" i="2"/>
  <c r="N39" i="2"/>
  <c r="P38" i="2"/>
  <c r="N38" i="2"/>
  <c r="P37" i="2"/>
  <c r="P36" i="2"/>
  <c r="P35" i="2"/>
  <c r="P34" i="2"/>
  <c r="N34" i="2"/>
  <c r="P33" i="2"/>
  <c r="P32" i="2"/>
  <c r="P31" i="2"/>
  <c r="P30" i="2"/>
  <c r="N30" i="2"/>
  <c r="P29" i="2"/>
  <c r="P28" i="2"/>
  <c r="P27" i="2"/>
  <c r="P26" i="2"/>
  <c r="N26" i="2"/>
  <c r="P25" i="2"/>
  <c r="P24" i="2"/>
  <c r="P23" i="2"/>
  <c r="P22" i="2"/>
  <c r="P21" i="2"/>
  <c r="P20" i="2"/>
  <c r="P19" i="2"/>
  <c r="P18" i="2"/>
  <c r="P17" i="2"/>
  <c r="P16" i="2"/>
  <c r="N16" i="2"/>
  <c r="P15" i="2"/>
  <c r="P14" i="2"/>
  <c r="N14" i="2"/>
  <c r="P13" i="2"/>
  <c r="P12" i="2"/>
  <c r="P11" i="2"/>
  <c r="P10" i="2"/>
  <c r="P9" i="2"/>
  <c r="P8" i="2"/>
  <c r="P7" i="2"/>
  <c r="N7" i="2"/>
  <c r="P6" i="2"/>
  <c r="P5" i="2"/>
  <c r="P4" i="2"/>
</calcChain>
</file>

<file path=xl/sharedStrings.xml><?xml version="1.0" encoding="utf-8"?>
<sst xmlns="http://schemas.openxmlformats.org/spreadsheetml/2006/main" count="2005" uniqueCount="599">
  <si>
    <t>EMP No</t>
  </si>
  <si>
    <r>
      <rPr>
        <b/>
        <sz val="10"/>
        <color indexed="8"/>
        <rFont val="Arial Narrow"/>
        <family val="2"/>
      </rPr>
      <t>NAAM EN VAN</t>
    </r>
  </si>
  <si>
    <r>
      <rPr>
        <b/>
        <sz val="10"/>
        <color indexed="8"/>
        <rFont val="Arial Narrow"/>
        <family val="2"/>
      </rPr>
      <t>IDNOMMER</t>
    </r>
  </si>
  <si>
    <r>
      <rPr>
        <b/>
        <sz val="10"/>
        <color indexed="8"/>
        <rFont val="Arial Narrow"/>
        <family val="2"/>
      </rPr>
      <t>PSIRA</t>
    </r>
  </si>
  <si>
    <t>Perridon</t>
  </si>
  <si>
    <t>IDEA 001</t>
  </si>
  <si>
    <r>
      <rPr>
        <sz val="10"/>
        <color indexed="8"/>
        <rFont val="Arial Narrow"/>
        <family val="2"/>
      </rPr>
      <t>FRANS DANIEL</t>
    </r>
  </si>
  <si>
    <t>Bedford</t>
  </si>
  <si>
    <t>IDEA 002</t>
  </si>
  <si>
    <r>
      <rPr>
        <sz val="10"/>
        <color indexed="8"/>
        <rFont val="Arial Narrow"/>
        <family val="2"/>
      </rPr>
      <t>DANIEL KARUEMBI NDARA</t>
    </r>
  </si>
  <si>
    <t>Beukeskuil</t>
  </si>
  <si>
    <t>IDEA 004</t>
  </si>
  <si>
    <r>
      <rPr>
        <sz val="10"/>
        <color indexed="8"/>
        <rFont val="Arial Narrow"/>
        <family val="2"/>
      </rPr>
      <t>MBUALE TJIUMA</t>
    </r>
  </si>
  <si>
    <r>
      <rPr>
        <sz val="10"/>
        <color indexed="10"/>
        <rFont val="Arial Narrow"/>
        <family val="2"/>
      </rPr>
      <t>TUNDU WIHEMBA</t>
    </r>
  </si>
  <si>
    <t>IDEA 005</t>
  </si>
  <si>
    <t>THOMAS WALLACE</t>
  </si>
  <si>
    <t>SAC</t>
  </si>
  <si>
    <t>IDEA 006</t>
  </si>
  <si>
    <r>
      <rPr>
        <sz val="10"/>
        <color indexed="8"/>
        <rFont val="Arial Narrow"/>
        <family val="2"/>
      </rPr>
      <t>LEONARD JONAS</t>
    </r>
  </si>
  <si>
    <t>Maruis H</t>
  </si>
  <si>
    <t>IDEA 007</t>
  </si>
  <si>
    <t>SHALONGOJONAS (Dankie)</t>
  </si>
  <si>
    <r>
      <rPr>
        <sz val="10"/>
        <color indexed="10"/>
        <rFont val="Arial Narrow"/>
        <family val="2"/>
      </rPr>
      <t>VENASIU HEVELINA</t>
    </r>
  </si>
  <si>
    <t>Gemsbok/Rusdae</t>
  </si>
  <si>
    <t>IDEA 009</t>
  </si>
  <si>
    <r>
      <rPr>
        <sz val="10"/>
        <color indexed="8"/>
        <rFont val="Arial Narrow"/>
        <family val="2"/>
      </rPr>
      <t>MIKE NDISHISI (Mike Mike)</t>
    </r>
  </si>
  <si>
    <t>IDEA010</t>
  </si>
  <si>
    <r>
      <rPr>
        <sz val="10"/>
        <color indexed="8"/>
        <rFont val="Arial Narrow"/>
        <family val="2"/>
      </rPr>
      <t>KAMAAI TJIVINDA</t>
    </r>
  </si>
  <si>
    <r>
      <rPr>
        <sz val="10"/>
        <color indexed="10"/>
        <rFont val="Arial Narrow"/>
        <family val="2"/>
      </rPr>
      <t>KONDJA DANIEL</t>
    </r>
  </si>
  <si>
    <t>JTG Bdy</t>
  </si>
  <si>
    <t>IDEA012</t>
  </si>
  <si>
    <r>
      <rPr>
        <sz val="10"/>
        <color indexed="8"/>
        <rFont val="Arial Narrow"/>
        <family val="2"/>
      </rPr>
      <t>ANGULA MALAKIA</t>
    </r>
  </si>
  <si>
    <r>
      <rPr>
        <sz val="10"/>
        <color indexed="10"/>
        <rFont val="Arial Narrow"/>
        <family val="2"/>
      </rPr>
      <t>NICK DE KOCK</t>
    </r>
  </si>
  <si>
    <t>Vergelee</t>
  </si>
  <si>
    <t>IDEA 014</t>
  </si>
  <si>
    <t>Macedo Munyachi Segunda</t>
  </si>
  <si>
    <t>IDEA 016</t>
  </si>
  <si>
    <r>
      <rPr>
        <sz val="10"/>
        <color indexed="8"/>
        <rFont val="Arial Narrow"/>
        <family val="2"/>
      </rPr>
      <t>BONIFASIUS LAZARUS</t>
    </r>
  </si>
  <si>
    <r>
      <rPr>
        <sz val="10"/>
        <color indexed="10"/>
        <rFont val="Arial Narrow"/>
        <family val="2"/>
      </rPr>
      <t>KONDJA</t>
    </r>
    <r>
      <rPr>
        <sz val="10"/>
        <color indexed="8"/>
        <rFont val="Arial Narrow"/>
        <family val="2"/>
      </rPr>
      <t xml:space="preserve"> </t>
    </r>
    <r>
      <rPr>
        <sz val="10"/>
        <color indexed="10"/>
        <rFont val="Arial Narrow"/>
        <family val="2"/>
      </rPr>
      <t>DANIEL</t>
    </r>
  </si>
  <si>
    <t>Sebastiaan</t>
  </si>
  <si>
    <t>IDEA 018</t>
  </si>
  <si>
    <r>
      <rPr>
        <sz val="10"/>
        <color indexed="8"/>
        <rFont val="Arial Narrow"/>
        <family val="2"/>
      </rPr>
      <t>FICIMON NDOVALA</t>
    </r>
  </si>
  <si>
    <t>David vd Merwe</t>
  </si>
  <si>
    <t>IDEA 020</t>
  </si>
  <si>
    <r>
      <rPr>
        <sz val="10"/>
        <color indexed="8"/>
        <rFont val="Arial Narrow"/>
        <family val="2"/>
      </rPr>
      <t>DAVID JOHANNES</t>
    </r>
  </si>
  <si>
    <t>Dry Hearts</t>
  </si>
  <si>
    <t>IDEA 022</t>
  </si>
  <si>
    <r>
      <rPr>
        <sz val="10"/>
        <color indexed="8"/>
        <rFont val="Arial Narrow"/>
        <family val="2"/>
      </rPr>
      <t>JONAS NGIYONANYE</t>
    </r>
    <r>
      <rPr>
        <sz val="10"/>
        <color rgb="FF000000"/>
        <rFont val="Arial Narrow"/>
        <family val="2"/>
      </rPr>
      <t xml:space="preserve"> (Fish)</t>
    </r>
  </si>
  <si>
    <t>IDEA 023</t>
  </si>
  <si>
    <r>
      <rPr>
        <sz val="10"/>
        <color indexed="8"/>
        <rFont val="Arial Narrow"/>
        <family val="2"/>
      </rPr>
      <t>VETOPOUUAMUTAMBO</t>
    </r>
    <r>
      <rPr>
        <sz val="10"/>
        <color rgb="FF000000"/>
        <rFont val="Arial Narrow"/>
        <family val="2"/>
      </rPr>
      <t xml:space="preserve"> (Lucky)</t>
    </r>
  </si>
  <si>
    <t>Aflos Tina</t>
  </si>
  <si>
    <t>IDEA 024</t>
  </si>
  <si>
    <r>
      <rPr>
        <sz val="10"/>
        <color indexed="8"/>
        <rFont val="Arial Narrow"/>
        <family val="2"/>
      </rPr>
      <t>IMMANUEL TVATLIFA</t>
    </r>
  </si>
  <si>
    <t>IDEA 025</t>
  </si>
  <si>
    <r>
      <rPr>
        <sz val="10"/>
        <color indexed="8"/>
        <rFont val="Arial Narrow"/>
        <family val="2"/>
      </rPr>
      <t>BEN KAFIDI</t>
    </r>
  </si>
  <si>
    <r>
      <rPr>
        <sz val="10"/>
        <color indexed="10"/>
        <rFont val="Arial Narrow"/>
        <family val="2"/>
      </rPr>
      <t>TOPIAS FILEMON</t>
    </r>
  </si>
  <si>
    <t>Aflos</t>
  </si>
  <si>
    <t>IDEA 028</t>
  </si>
  <si>
    <r>
      <rPr>
        <sz val="10"/>
        <color indexed="8"/>
        <rFont val="Arial Narrow"/>
        <family val="2"/>
      </rPr>
      <t>DSSHILONGO</t>
    </r>
  </si>
  <si>
    <t>Murry</t>
  </si>
  <si>
    <t>IDEA 029</t>
  </si>
  <si>
    <r>
      <rPr>
        <sz val="10"/>
        <color indexed="8"/>
        <rFont val="Arial Narrow"/>
        <family val="2"/>
      </rPr>
      <t>HTJIUHARO</t>
    </r>
  </si>
  <si>
    <t>Rudolf Gabriel Venter</t>
  </si>
  <si>
    <t>9310265176085</t>
  </si>
  <si>
    <r>
      <rPr>
        <sz val="10"/>
        <color indexed="10"/>
        <rFont val="Arial Narrow"/>
        <family val="2"/>
      </rPr>
      <t>MOSES</t>
    </r>
    <r>
      <rPr>
        <sz val="10"/>
        <color indexed="8"/>
        <rFont val="Arial Narrow"/>
        <family val="2"/>
      </rPr>
      <t xml:space="preserve"> </t>
    </r>
    <r>
      <rPr>
        <sz val="10"/>
        <color indexed="10"/>
        <rFont val="Arial Narrow"/>
        <family val="2"/>
      </rPr>
      <t>NEKOJA</t>
    </r>
  </si>
  <si>
    <t>IDEA 032</t>
  </si>
  <si>
    <t>PETRUS PAULUS MBAMBI</t>
  </si>
  <si>
    <t>IDEA 033</t>
  </si>
  <si>
    <r>
      <rPr>
        <sz val="10"/>
        <color indexed="8"/>
        <rFont val="Arial Narrow"/>
        <family val="2"/>
      </rPr>
      <t>M0L0M0 REUBEN</t>
    </r>
  </si>
  <si>
    <t>IDEA 034</t>
  </si>
  <si>
    <r>
      <rPr>
        <sz val="10"/>
        <color indexed="8"/>
        <rFont val="Arial Narrow"/>
        <family val="2"/>
      </rPr>
      <t>FERNANANDU BUSH</t>
    </r>
  </si>
  <si>
    <r>
      <rPr>
        <sz val="10"/>
        <color indexed="63"/>
        <rFont val="Arial Narrow"/>
        <family val="2"/>
      </rPr>
      <t>KANDJEMUNI THJIUMBUA</t>
    </r>
  </si>
  <si>
    <r>
      <rPr>
        <sz val="10"/>
        <color indexed="63"/>
        <rFont val="Arial Narrow"/>
        <family val="2"/>
      </rPr>
      <t>KONJA SIMON</t>
    </r>
  </si>
  <si>
    <t>River North</t>
  </si>
  <si>
    <t>IDEA 041</t>
  </si>
  <si>
    <r>
      <rPr>
        <sz val="10"/>
        <color indexed="8"/>
        <rFont val="Arial Narrow"/>
        <family val="2"/>
      </rPr>
      <t>KANTANE N</t>
    </r>
  </si>
  <si>
    <t>LABAN 1 SAKARIA</t>
  </si>
  <si>
    <r>
      <rPr>
        <sz val="10"/>
        <color indexed="10"/>
        <rFont val="Arial Narrow"/>
        <family val="2"/>
      </rPr>
      <t>CARLOS JOSEPH</t>
    </r>
  </si>
  <si>
    <t>Utijavari U</t>
  </si>
  <si>
    <t>Khamab</t>
  </si>
  <si>
    <t>IDEA 042</t>
  </si>
  <si>
    <r>
      <rPr>
        <sz val="10"/>
        <color indexed="8"/>
        <rFont val="Arial Narrow"/>
        <family val="2"/>
      </rPr>
      <t>JOHANNES HEKANDJO</t>
    </r>
  </si>
  <si>
    <t>IDEA 045</t>
  </si>
  <si>
    <r>
      <rPr>
        <sz val="10"/>
        <color indexed="8"/>
        <rFont val="Arial Narrow"/>
        <family val="2"/>
      </rPr>
      <t>ALFEUS HAUFIKU</t>
    </r>
  </si>
  <si>
    <t>Shinana J</t>
  </si>
  <si>
    <t>8301106629086</t>
  </si>
  <si>
    <t>Johannes N Kayambo</t>
  </si>
  <si>
    <t>8610075289080</t>
  </si>
  <si>
    <t>IDEA050</t>
  </si>
  <si>
    <t>Mayundu A</t>
  </si>
  <si>
    <t>8406125322082</t>
  </si>
  <si>
    <t>Johan Cronje</t>
  </si>
  <si>
    <t>IDEA 053</t>
  </si>
  <si>
    <t>KAV Kakuva</t>
  </si>
  <si>
    <t>8311116597082</t>
  </si>
  <si>
    <t>Matouje Tjiharuka</t>
  </si>
  <si>
    <t>8712146231080</t>
  </si>
  <si>
    <t>Petrus Shishiweni Nakale</t>
  </si>
  <si>
    <t>8312176064088</t>
  </si>
  <si>
    <t>Babsfontein</t>
  </si>
  <si>
    <t>IDEA 059</t>
  </si>
  <si>
    <t>Njohannes S Ndala</t>
  </si>
  <si>
    <t>8304106362088</t>
  </si>
  <si>
    <t>I Ndumba</t>
  </si>
  <si>
    <t>8108126293080</t>
  </si>
  <si>
    <t>IDEA 061</t>
  </si>
  <si>
    <t>Romanus Karabora</t>
  </si>
  <si>
    <t>6603265711080</t>
  </si>
  <si>
    <t>Joseph Alpheud Kkamule</t>
  </si>
  <si>
    <t>8811095362085</t>
  </si>
  <si>
    <t>IDEA 064</t>
  </si>
  <si>
    <t>Linda Hadimbwasha (leo)</t>
  </si>
  <si>
    <t>8803136327086</t>
  </si>
  <si>
    <t>Lenniesdeel</t>
  </si>
  <si>
    <t>IDEA 066</t>
  </si>
  <si>
    <t>Petrus Tyokalume</t>
  </si>
  <si>
    <t>6703165771083</t>
  </si>
  <si>
    <t>D Sevelinu (geen besonderhede)</t>
  </si>
  <si>
    <t>BVSG075</t>
  </si>
  <si>
    <t>Novello Fourie</t>
  </si>
  <si>
    <t>IDEA 076</t>
  </si>
  <si>
    <t>Pertus Gideon</t>
  </si>
  <si>
    <t>8103037484080</t>
  </si>
  <si>
    <t>Robert H Kapindi</t>
  </si>
  <si>
    <t>8004096059088</t>
  </si>
  <si>
    <t>IDEA 078</t>
  </si>
  <si>
    <t>John Joseph</t>
  </si>
  <si>
    <t>6801265295084</t>
  </si>
  <si>
    <t>Bronkhorstpruit</t>
  </si>
  <si>
    <t>IDEA 080</t>
  </si>
  <si>
    <t>M Musutu</t>
  </si>
  <si>
    <t>8502216097086</t>
  </si>
  <si>
    <t>Hills</t>
  </si>
  <si>
    <t>IDEA 082</t>
  </si>
  <si>
    <t>OMO Kapepu</t>
  </si>
  <si>
    <t>8706266525082</t>
  </si>
  <si>
    <t>IDEA 087</t>
  </si>
  <si>
    <t>Thomas Lwish</t>
  </si>
  <si>
    <t>9101245211088</t>
  </si>
  <si>
    <t>BVSG089</t>
  </si>
  <si>
    <t>Maseka Joseph Nemoarani</t>
  </si>
  <si>
    <t>8204126051085</t>
  </si>
  <si>
    <t>Tlak</t>
  </si>
  <si>
    <t>BVSG090</t>
  </si>
  <si>
    <t>David Jona Katembo</t>
  </si>
  <si>
    <t>9004135263088</t>
  </si>
  <si>
    <t>BVSG091</t>
  </si>
  <si>
    <t>Frans John Hennie</t>
  </si>
  <si>
    <t>9303035403087</t>
  </si>
  <si>
    <t>BVSG094</t>
  </si>
  <si>
    <t>Blasius Hidengwa</t>
  </si>
  <si>
    <t>6801076295083</t>
  </si>
  <si>
    <t>BVSG095</t>
  </si>
  <si>
    <t>Tina</t>
  </si>
  <si>
    <t>Shahafifange Hipandulua (luke)</t>
  </si>
  <si>
    <t>9004185416081</t>
  </si>
  <si>
    <t>BVSG096</t>
  </si>
  <si>
    <t>Lukas Makuwa</t>
  </si>
  <si>
    <t>7910045302083</t>
  </si>
  <si>
    <t>Aflos / Murry</t>
  </si>
  <si>
    <t>BVSG099</t>
  </si>
  <si>
    <t>GM Likuwa</t>
  </si>
  <si>
    <t>9103065454087</t>
  </si>
  <si>
    <t>BVSG103</t>
  </si>
  <si>
    <t>Daniel Kilino</t>
  </si>
  <si>
    <t>9107055320083</t>
  </si>
  <si>
    <t>Khamab / Aflos</t>
  </si>
  <si>
    <t>BVSG109</t>
  </si>
  <si>
    <t>BP Moya (prince)</t>
  </si>
  <si>
    <t>0008115287081</t>
  </si>
  <si>
    <t>BVSG115</t>
  </si>
  <si>
    <t>Gabriel Antonius</t>
  </si>
  <si>
    <t>9306235305085</t>
  </si>
  <si>
    <t>BVSG120</t>
  </si>
  <si>
    <t>Oscar Wanjamba</t>
  </si>
  <si>
    <t>BVSG121</t>
  </si>
  <si>
    <t>Leon Zaaiman</t>
  </si>
  <si>
    <t>7512095034085</t>
  </si>
  <si>
    <t>BVSG122</t>
  </si>
  <si>
    <t>Thomas Nghishiko</t>
  </si>
  <si>
    <t>9303185261087</t>
  </si>
  <si>
    <t>BVSG124</t>
  </si>
  <si>
    <t>Ndumba Mingandja</t>
  </si>
  <si>
    <t>8909065366084</t>
  </si>
  <si>
    <t>BVSG125</t>
  </si>
  <si>
    <t>Chambala Segunda</t>
  </si>
  <si>
    <t>8705015265081</t>
  </si>
  <si>
    <t>Ruan</t>
  </si>
  <si>
    <t>BVSG132</t>
  </si>
  <si>
    <t>Jonas Shefashike</t>
  </si>
  <si>
    <t>8606125371084</t>
  </si>
  <si>
    <t>Boela</t>
  </si>
  <si>
    <t>BVSG133</t>
  </si>
  <si>
    <t>Jordan Frans</t>
  </si>
  <si>
    <t>8505296200082</t>
  </si>
  <si>
    <t>BVSG134</t>
  </si>
  <si>
    <t>Taleni Mangongo</t>
  </si>
  <si>
    <t>9007066411089</t>
  </si>
  <si>
    <t>BVSG135</t>
  </si>
  <si>
    <t>Arthur nel</t>
  </si>
  <si>
    <t>Ali Magau</t>
  </si>
  <si>
    <t>8402025502089</t>
  </si>
  <si>
    <t>BVSG136</t>
  </si>
  <si>
    <t>Tieleman Gemsbok</t>
  </si>
  <si>
    <t>Ndyolomimu IM</t>
  </si>
  <si>
    <t>9110205204082</t>
  </si>
  <si>
    <t>Dry hearts</t>
  </si>
  <si>
    <t>BVSG137</t>
  </si>
  <si>
    <t>Jospephat Kitopha</t>
  </si>
  <si>
    <t>9509115693088</t>
  </si>
  <si>
    <t>BVSG138</t>
  </si>
  <si>
    <t>Augusto maguel Jamba</t>
  </si>
  <si>
    <t>8101015288085</t>
  </si>
  <si>
    <t>BVSG139</t>
  </si>
  <si>
    <t>Kuruman</t>
  </si>
  <si>
    <t>PV Kafuna</t>
  </si>
  <si>
    <t>8805055315083</t>
  </si>
  <si>
    <t>BVSG140</t>
  </si>
  <si>
    <t>U Muharukua</t>
  </si>
  <si>
    <t>7506136116083</t>
  </si>
  <si>
    <t>Aliwal</t>
  </si>
  <si>
    <t>BVSG141</t>
  </si>
  <si>
    <t>Faustina Kawe</t>
  </si>
  <si>
    <t>9003096404087</t>
  </si>
  <si>
    <t>2993343</t>
  </si>
  <si>
    <t>Boela / Tieleman / david</t>
  </si>
  <si>
    <t>BVSG143</t>
  </si>
  <si>
    <t>Simson Shafodino</t>
  </si>
  <si>
    <t>7506026664085</t>
  </si>
  <si>
    <t>1927792</t>
  </si>
  <si>
    <t>BVSG144</t>
  </si>
  <si>
    <t>Luisi Shikolepo</t>
  </si>
  <si>
    <t>9707265274085</t>
  </si>
  <si>
    <t>452510</t>
  </si>
  <si>
    <t>BVSG146</t>
  </si>
  <si>
    <t>Aser Magongo</t>
  </si>
  <si>
    <t>2550783</t>
  </si>
  <si>
    <t>BVSG147</t>
  </si>
  <si>
    <t>EE Tobias</t>
  </si>
  <si>
    <t>9703105359087</t>
  </si>
  <si>
    <t>2927697</t>
  </si>
  <si>
    <t>BVSG148</t>
  </si>
  <si>
    <t>Michael David Motshego</t>
  </si>
  <si>
    <t>9802015241086</t>
  </si>
  <si>
    <t>4734772</t>
  </si>
  <si>
    <t>Bronzkop</t>
  </si>
  <si>
    <t>BVSG150</t>
  </si>
  <si>
    <t>Petrus Mwale</t>
  </si>
  <si>
    <t>7208135974089</t>
  </si>
  <si>
    <t>BVSG151</t>
  </si>
  <si>
    <t>Profilius  Mwetupaka</t>
  </si>
  <si>
    <t>9409065531083</t>
  </si>
  <si>
    <t>2206782</t>
  </si>
  <si>
    <t>BVSG153</t>
  </si>
  <si>
    <t>Bafana Tjijahura</t>
  </si>
  <si>
    <t>8505086331188</t>
  </si>
  <si>
    <t>Rest day FROM:</t>
  </si>
  <si>
    <t>Rest Day TO:</t>
  </si>
  <si>
    <t>Total Days REST:</t>
  </si>
  <si>
    <t>Annual Leave FROM:</t>
  </si>
  <si>
    <t>Annual Leave TO:</t>
  </si>
  <si>
    <t>Total Day Leave</t>
  </si>
  <si>
    <t>MBWALE Tjiuma</t>
  </si>
  <si>
    <t>Std Bank Creditor Code</t>
  </si>
  <si>
    <t>Bank</t>
  </si>
  <si>
    <t>Basies</t>
  </si>
  <si>
    <t>Dag Loon</t>
  </si>
  <si>
    <t>Spaar Balans</t>
  </si>
  <si>
    <t>Min Spaar</t>
  </si>
  <si>
    <t>Uniform</t>
  </si>
  <si>
    <t>Aftrekkings</t>
  </si>
  <si>
    <t>Netto</t>
  </si>
  <si>
    <r>
      <rPr>
        <b/>
        <sz val="10"/>
        <color indexed="8"/>
        <rFont val="Arial Narrow"/>
        <family val="2"/>
      </rPr>
      <t>Aanstel</t>
    </r>
  </si>
  <si>
    <t>KPI Aftrekkings</t>
  </si>
  <si>
    <r>
      <rPr>
        <b/>
        <sz val="10"/>
        <color indexed="8"/>
        <rFont val="Arial Narrow"/>
        <family val="2"/>
      </rPr>
      <t>Diens</t>
    </r>
  </si>
  <si>
    <t>IDEA001</t>
  </si>
  <si>
    <t>Capitec - 1357221132</t>
  </si>
  <si>
    <r>
      <rPr>
        <sz val="10"/>
        <color indexed="8"/>
        <rFont val="Arial Narrow"/>
        <family val="2"/>
      </rPr>
      <t>06.05.2017</t>
    </r>
  </si>
  <si>
    <t>010232</t>
  </si>
  <si>
    <t>Capitec - 1704755113</t>
  </si>
  <si>
    <r>
      <rPr>
        <sz val="10"/>
        <color indexed="8"/>
        <rFont val="Arial Narrow"/>
        <family val="2"/>
      </rPr>
      <t>01.01.2017</t>
    </r>
  </si>
  <si>
    <t>IDEA004</t>
  </si>
  <si>
    <t>Std -10214848041</t>
  </si>
  <si>
    <t>06.05.2017</t>
  </si>
  <si>
    <t>03.03.2021 Diens beeindig</t>
  </si>
  <si>
    <t>010162</t>
  </si>
  <si>
    <t>Std - 24989991</t>
  </si>
  <si>
    <t>21.02.2022</t>
  </si>
  <si>
    <t>010296</t>
  </si>
  <si>
    <t xml:space="preserve">Nedbank - 1255083182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</si>
  <si>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010226</t>
  </si>
  <si>
    <t>Capitec - 1551284810</t>
  </si>
  <si>
    <t>24.05.2018</t>
  </si>
  <si>
    <t>Dismissed Nov 2021</t>
  </si>
  <si>
    <t>011043</t>
  </si>
  <si>
    <t>ABSA - 9179266544</t>
  </si>
  <si>
    <r>
      <rPr>
        <sz val="10"/>
        <color indexed="8"/>
        <rFont val="Arial Narrow"/>
        <family val="2"/>
      </rPr>
      <t>18.10.2018</t>
    </r>
  </si>
  <si>
    <t>010178</t>
  </si>
  <si>
    <t>Capitec - 1378975896</t>
  </si>
  <si>
    <r>
      <rPr>
        <sz val="10"/>
        <color indexed="8"/>
        <rFont val="Arial Narrow"/>
        <family val="2"/>
      </rPr>
      <t>13.10.2018</t>
    </r>
  </si>
  <si>
    <t>01.12.2018</t>
  </si>
  <si>
    <t>Medies Ongeskik Okt 2020</t>
  </si>
  <si>
    <t>010272</t>
  </si>
  <si>
    <t>ABSA - 4108613539</t>
  </si>
  <si>
    <r>
      <rPr>
        <sz val="10"/>
        <color indexed="8"/>
        <rFont val="Arial Narrow"/>
        <family val="2"/>
      </rPr>
      <t>20.02.2019</t>
    </r>
  </si>
  <si>
    <t>01.02.2019</t>
  </si>
  <si>
    <t>14.03.2021 Oorlede</t>
  </si>
  <si>
    <t>010165</t>
  </si>
  <si>
    <t>Capitec - 1580790826</t>
  </si>
  <si>
    <t>03.04.2022</t>
  </si>
  <si>
    <t>010995</t>
  </si>
  <si>
    <t>Std - 10196885629</t>
  </si>
  <si>
    <r>
      <rPr>
        <sz val="10"/>
        <color indexed="8"/>
        <rFont val="Arial Narrow"/>
        <family val="2"/>
      </rPr>
      <t>05.05.2019</t>
    </r>
  </si>
  <si>
    <t>06.05.2019</t>
  </si>
  <si>
    <t>Resigned 05.01.2021</t>
  </si>
  <si>
    <t>010948</t>
  </si>
  <si>
    <t>Capitec - 1636665843</t>
  </si>
  <si>
    <r>
      <rPr>
        <sz val="10"/>
        <color indexed="8"/>
        <rFont val="Arial Narrow"/>
        <family val="2"/>
      </rPr>
      <t>01.08.2019</t>
    </r>
  </si>
  <si>
    <t>010067</t>
  </si>
  <si>
    <t>Nedbank - 1203318189</t>
  </si>
  <si>
    <r>
      <rPr>
        <sz val="10"/>
        <color indexed="8"/>
        <rFont val="Arial Narrow"/>
        <family val="2"/>
      </rPr>
      <t>10.07.2019</t>
    </r>
  </si>
  <si>
    <t>010092</t>
  </si>
  <si>
    <t>FNB - 62813133460</t>
  </si>
  <si>
    <r>
      <rPr>
        <sz val="10"/>
        <color indexed="8"/>
        <rFont val="Arial Narrow"/>
        <family val="2"/>
      </rPr>
      <t>20.09.2019</t>
    </r>
  </si>
  <si>
    <t>010116</t>
  </si>
  <si>
    <t>Capitec - 1407785778</t>
  </si>
  <si>
    <r>
      <rPr>
        <sz val="10"/>
        <color indexed="8"/>
        <rFont val="Arial Narrow"/>
        <family val="2"/>
      </rPr>
      <t>26.09.2019</t>
    </r>
  </si>
  <si>
    <t>IDEA024</t>
  </si>
  <si>
    <t>Std - 10197336998</t>
  </si>
  <si>
    <r>
      <rPr>
        <sz val="10"/>
        <color indexed="8"/>
        <rFont val="Arial Narrow"/>
        <family val="2"/>
      </rPr>
      <t>01.10.2019</t>
    </r>
  </si>
  <si>
    <t>010168</t>
  </si>
  <si>
    <t>Capitec - 1550243878</t>
  </si>
  <si>
    <r>
      <rPr>
        <sz val="10"/>
        <color indexed="8"/>
        <rFont val="Arial Narrow"/>
        <family val="2"/>
      </rPr>
      <t>07.11.2019</t>
    </r>
  </si>
  <si>
    <t>07.11.2019</t>
  </si>
  <si>
    <t xml:space="preserve"> Resigned 05.02.2021</t>
  </si>
  <si>
    <t>010046</t>
  </si>
  <si>
    <t>FNB - 6292261182888</t>
  </si>
  <si>
    <r>
      <rPr>
        <sz val="10"/>
        <color indexed="8"/>
        <rFont val="Arial Narrow"/>
        <family val="2"/>
      </rPr>
      <t>16.01.2020</t>
    </r>
  </si>
  <si>
    <t>011023</t>
  </si>
  <si>
    <t>STD - 10028805400</t>
  </si>
  <si>
    <t>01.04.2021</t>
  </si>
  <si>
    <t>Resigned 31.08.2021</t>
  </si>
  <si>
    <r>
      <rPr>
        <sz val="10"/>
        <color indexed="10"/>
        <rFont val="Arial Narrow"/>
        <family val="2"/>
      </rPr>
      <t>01.02.2020</t>
    </r>
  </si>
  <si>
    <r>
      <rPr>
        <sz val="10"/>
        <color indexed="10"/>
        <rFont val="Arial Narrow"/>
        <family val="2"/>
      </rPr>
      <t>Diens</t>
    </r>
    <r>
      <rPr>
        <sz val="10"/>
        <color indexed="8"/>
        <rFont val="Arial Narrow"/>
        <family val="2"/>
      </rPr>
      <t xml:space="preserve"> </t>
    </r>
    <r>
      <rPr>
        <sz val="10"/>
        <color indexed="10"/>
        <rFont val="Arial Narrow"/>
        <family val="2"/>
      </rPr>
      <t>beeindig</t>
    </r>
    <r>
      <rPr>
        <sz val="10"/>
        <color indexed="8"/>
        <rFont val="Arial Narrow"/>
        <family val="2"/>
      </rPr>
      <t xml:space="preserve"> </t>
    </r>
    <r>
      <rPr>
        <sz val="10"/>
        <color indexed="10"/>
        <rFont val="Arial Narrow"/>
        <family val="2"/>
      </rPr>
      <t>31.11.2020</t>
    </r>
  </si>
  <si>
    <t>010204</t>
  </si>
  <si>
    <t>Std - 10157773173</t>
  </si>
  <si>
    <t>22.05.2022</t>
  </si>
  <si>
    <t>010985</t>
  </si>
  <si>
    <t>Capitec - 1428165116</t>
  </si>
  <si>
    <r>
      <rPr>
        <sz val="10"/>
        <color indexed="8"/>
        <rFont val="Arial Narrow"/>
        <family val="2"/>
      </rPr>
      <t>01.02.2020</t>
    </r>
  </si>
  <si>
    <t>010909</t>
  </si>
  <si>
    <t>FNB - 62915305868</t>
  </si>
  <si>
    <r>
      <rPr>
        <sz val="10"/>
        <color indexed="8"/>
        <rFont val="Arial Narrow"/>
        <family val="2"/>
      </rPr>
      <t>23.07.2020</t>
    </r>
  </si>
  <si>
    <t>23.07.2020</t>
  </si>
  <si>
    <t>Bedank 28.06.21(PWA)</t>
  </si>
  <si>
    <t>07.07.2020</t>
  </si>
  <si>
    <t>Arrested COIN</t>
  </si>
  <si>
    <t>010104</t>
  </si>
  <si>
    <t>Nedbank - 1184181667</t>
  </si>
  <si>
    <r>
      <rPr>
        <sz val="10"/>
        <color indexed="8"/>
        <rFont val="Arial Narrow"/>
        <family val="2"/>
      </rPr>
      <t>01.09.2020</t>
    </r>
  </si>
  <si>
    <t>20.12.2020</t>
  </si>
  <si>
    <t>Contracted end 10.08.21</t>
  </si>
  <si>
    <t>04.01.2021</t>
  </si>
  <si>
    <t>Resigned 25.08.2021</t>
  </si>
  <si>
    <t>15.01.2021</t>
  </si>
  <si>
    <t xml:space="preserve"> Resigned 01.03.2021</t>
  </si>
  <si>
    <t>IDEA042</t>
  </si>
  <si>
    <t>Std - 10225644795</t>
  </si>
  <si>
    <r>
      <rPr>
        <sz val="10"/>
        <color indexed="8"/>
        <rFont val="Arial Narrow"/>
        <family val="2"/>
      </rPr>
      <t>30.10.2020</t>
    </r>
  </si>
  <si>
    <t>IDEA045</t>
  </si>
  <si>
    <t>Std - 10255055402</t>
  </si>
  <si>
    <r>
      <rPr>
        <sz val="10"/>
        <color indexed="8"/>
        <rFont val="Arial Narrow"/>
        <family val="2"/>
      </rPr>
      <t>28.10.2020</t>
    </r>
  </si>
  <si>
    <t>09.02.2021</t>
  </si>
  <si>
    <t>Resigned 04.10.2021</t>
  </si>
  <si>
    <t>11.02.2021</t>
  </si>
  <si>
    <t>Resigned 01.03.2021</t>
  </si>
  <si>
    <t>010031</t>
  </si>
  <si>
    <t>05.01.2021</t>
  </si>
  <si>
    <t>IDEA053</t>
  </si>
  <si>
    <t>STD - 10136142034</t>
  </si>
  <si>
    <t>27.02.2021</t>
  </si>
  <si>
    <t>Finale skeiding loon nog uitstaande</t>
  </si>
  <si>
    <t>15.03.2021</t>
  </si>
  <si>
    <t>25.03.2021</t>
  </si>
  <si>
    <t>03.02.2021</t>
  </si>
  <si>
    <t>010109</t>
  </si>
  <si>
    <t>Capitec - 1350455146</t>
  </si>
  <si>
    <t>15.04.2021</t>
  </si>
  <si>
    <t>IDEA061.2</t>
  </si>
  <si>
    <t>Capitec-2300519670</t>
  </si>
  <si>
    <t>R2000 btl terug tov bakkie wat gestamp is 23.06.25</t>
  </si>
  <si>
    <t>24.04.2021</t>
  </si>
  <si>
    <t>010123</t>
  </si>
  <si>
    <t>Nedbank - 1221346814</t>
  </si>
  <si>
    <t>26.04.2021</t>
  </si>
  <si>
    <t>010225</t>
  </si>
  <si>
    <t>Nedbank - 1207238430</t>
  </si>
  <si>
    <t>28.04.2021</t>
  </si>
  <si>
    <t>16.08.2021</t>
  </si>
  <si>
    <t>Capitec - 1564344191</t>
  </si>
  <si>
    <t>08.05.2025</t>
  </si>
  <si>
    <t>010044</t>
  </si>
  <si>
    <t>Std - 10010271897</t>
  </si>
  <si>
    <t>23.08.2021</t>
  </si>
  <si>
    <t>IDEA078</t>
  </si>
  <si>
    <t>FNB - 62842481517</t>
  </si>
  <si>
    <t>14.11.2021</t>
  </si>
  <si>
    <t>010029</t>
  </si>
  <si>
    <t>ABSA - 4101762038</t>
  </si>
  <si>
    <t>31.10.2021</t>
  </si>
  <si>
    <t>010244</t>
  </si>
  <si>
    <t>Capitec - 1449192643</t>
  </si>
  <si>
    <t>IDEA087</t>
  </si>
  <si>
    <t>Capitec - 1579401951</t>
  </si>
  <si>
    <t>08.12.2021</t>
  </si>
  <si>
    <t>011195</t>
  </si>
  <si>
    <t>Std - 10036643856</t>
  </si>
  <si>
    <t>01.08.2022</t>
  </si>
  <si>
    <t>BVSG090.1</t>
  </si>
  <si>
    <t>Std - 10206108182</t>
  </si>
  <si>
    <t>17.08.2022</t>
  </si>
  <si>
    <t>011193</t>
  </si>
  <si>
    <t>Capitec - 1743453238</t>
  </si>
  <si>
    <t>011184</t>
  </si>
  <si>
    <t>Fnb - 62845376054</t>
  </si>
  <si>
    <t>22.08.2022</t>
  </si>
  <si>
    <t>STD - 10189732677</t>
  </si>
  <si>
    <t>05.08.2022</t>
  </si>
  <si>
    <t>13.08.25 Leen by JJ</t>
  </si>
  <si>
    <t>011185</t>
  </si>
  <si>
    <t>011188</t>
  </si>
  <si>
    <t>Capitec - 1333500422</t>
  </si>
  <si>
    <t>13.08.2022</t>
  </si>
  <si>
    <t>011203</t>
  </si>
  <si>
    <t>Capitec - 1857200169</t>
  </si>
  <si>
    <t>27.08.2022</t>
  </si>
  <si>
    <t>011208</t>
  </si>
  <si>
    <t>Capitec - 1748440371</t>
  </si>
  <si>
    <t>19.09.2022</t>
  </si>
  <si>
    <t>010298</t>
  </si>
  <si>
    <t>Capitec - 1612061360</t>
  </si>
  <si>
    <t>01.11.2022</t>
  </si>
  <si>
    <t>011225</t>
  </si>
  <si>
    <t>Capitec - 1678582679</t>
  </si>
  <si>
    <t>09.01.2023</t>
  </si>
  <si>
    <t>011226</t>
  </si>
  <si>
    <t>Capitec - 1491571967</t>
  </si>
  <si>
    <t>011227</t>
  </si>
  <si>
    <t>Nedbank - 1165303035</t>
  </si>
  <si>
    <t>28.12.2022</t>
  </si>
  <si>
    <t>010306</t>
  </si>
  <si>
    <t>Capitec - 1228461676</t>
  </si>
  <si>
    <t>03.01.2023</t>
  </si>
  <si>
    <t>FNB - 62931013859</t>
  </si>
  <si>
    <t>010335</t>
  </si>
  <si>
    <t>Capitec - 1430944224</t>
  </si>
  <si>
    <t>01.07.2023</t>
  </si>
  <si>
    <t>011002</t>
  </si>
  <si>
    <t>Std - 10170238170</t>
  </si>
  <si>
    <t>25.07.2023</t>
  </si>
  <si>
    <t>BVSG146.1</t>
  </si>
  <si>
    <t>Nedbank - 1266539670</t>
  </si>
  <si>
    <t>Bedanking 06.08.25</t>
  </si>
  <si>
    <t>FNB - 63011566394</t>
  </si>
  <si>
    <t>STD - 10235629020</t>
  </si>
  <si>
    <t>010328</t>
  </si>
  <si>
    <t>Capitec - 1476337266</t>
  </si>
  <si>
    <t>01.12.2023</t>
  </si>
  <si>
    <t>STD - 10233988007</t>
  </si>
  <si>
    <t>Capitec - 1216837064</t>
  </si>
  <si>
    <t>24.01.2024</t>
  </si>
  <si>
    <t>BVSG140.1</t>
  </si>
  <si>
    <t>ABSA - 9391229657</t>
  </si>
  <si>
    <t>01.01.2024</t>
  </si>
  <si>
    <t>010344</t>
  </si>
  <si>
    <t>FNB - 62675104865</t>
  </si>
  <si>
    <t>Des 2023</t>
  </si>
  <si>
    <t>010308</t>
  </si>
  <si>
    <t>FNB - 62143024876</t>
  </si>
  <si>
    <t>Capitec 2062512496</t>
  </si>
  <si>
    <t>10.07.2024</t>
  </si>
  <si>
    <t>Bidvest - 31562392301</t>
  </si>
  <si>
    <t>010345</t>
  </si>
  <si>
    <t>Capitec  1585696003</t>
  </si>
  <si>
    <t>Nedbank - 1248714776</t>
  </si>
  <si>
    <t>03.10.2024</t>
  </si>
  <si>
    <t>010348</t>
  </si>
  <si>
    <t>ABSA - 9371407869</t>
  </si>
  <si>
    <t>Leen by JJ 14.08.25</t>
  </si>
  <si>
    <t>010346</t>
  </si>
  <si>
    <t>Std - 10202405719</t>
  </si>
  <si>
    <t>Capitec - 2336747207</t>
  </si>
  <si>
    <t>20.12.2024</t>
  </si>
  <si>
    <t>Aanstel datum</t>
  </si>
  <si>
    <r>
      <rPr>
        <b/>
        <sz val="10"/>
        <color indexed="8"/>
        <rFont val="Arial Narrow"/>
        <family val="2"/>
      </rPr>
      <t>06.05.2017</t>
    </r>
  </si>
  <si>
    <r>
      <rPr>
        <b/>
        <sz val="10"/>
        <color indexed="8"/>
        <rFont val="Arial Narrow"/>
        <family val="2"/>
      </rPr>
      <t>01.01.2017</t>
    </r>
  </si>
  <si>
    <r>
      <rPr>
        <b/>
        <sz val="10"/>
        <color indexed="8"/>
        <rFont val="Arial Narrow"/>
        <family val="2"/>
      </rPr>
      <t>18.10.2018</t>
    </r>
  </si>
  <si>
    <r>
      <rPr>
        <b/>
        <sz val="10"/>
        <color indexed="8"/>
        <rFont val="Arial Narrow"/>
        <family val="2"/>
      </rPr>
      <t>13.10.2018</t>
    </r>
  </si>
  <si>
    <r>
      <rPr>
        <b/>
        <sz val="10"/>
        <color indexed="8"/>
        <rFont val="Arial Narrow"/>
        <family val="2"/>
      </rPr>
      <t>20.02.2019</t>
    </r>
  </si>
  <si>
    <r>
      <rPr>
        <b/>
        <sz val="10"/>
        <color indexed="8"/>
        <rFont val="Arial Narrow"/>
        <family val="2"/>
      </rPr>
      <t>05.05.2019</t>
    </r>
  </si>
  <si>
    <r>
      <rPr>
        <b/>
        <sz val="10"/>
        <color indexed="8"/>
        <rFont val="Arial Narrow"/>
        <family val="2"/>
      </rPr>
      <t>01.08.2019</t>
    </r>
  </si>
  <si>
    <r>
      <rPr>
        <b/>
        <sz val="10"/>
        <color indexed="8"/>
        <rFont val="Arial Narrow"/>
        <family val="2"/>
      </rPr>
      <t>10.07.2019</t>
    </r>
  </si>
  <si>
    <r>
      <rPr>
        <b/>
        <sz val="10"/>
        <color indexed="8"/>
        <rFont val="Arial Narrow"/>
        <family val="2"/>
      </rPr>
      <t>20.09.2019</t>
    </r>
  </si>
  <si>
    <r>
      <rPr>
        <b/>
        <sz val="10"/>
        <color indexed="8"/>
        <rFont val="Arial Narrow"/>
        <family val="2"/>
      </rPr>
      <t>26.09.2019</t>
    </r>
  </si>
  <si>
    <r>
      <rPr>
        <b/>
        <sz val="10"/>
        <color indexed="8"/>
        <rFont val="Arial Narrow"/>
        <family val="2"/>
      </rPr>
      <t>01.10.2019</t>
    </r>
  </si>
  <si>
    <r>
      <rPr>
        <b/>
        <sz val="10"/>
        <color indexed="8"/>
        <rFont val="Arial Narrow"/>
        <family val="2"/>
      </rPr>
      <t>07.11.2019</t>
    </r>
  </si>
  <si>
    <r>
      <rPr>
        <b/>
        <sz val="10"/>
        <color indexed="8"/>
        <rFont val="Arial Narrow"/>
        <family val="2"/>
      </rPr>
      <t>16.01.2020</t>
    </r>
  </si>
  <si>
    <r>
      <rPr>
        <b/>
        <sz val="10"/>
        <color indexed="10"/>
        <rFont val="Arial Narrow"/>
        <family val="2"/>
      </rPr>
      <t>01.02.2020</t>
    </r>
  </si>
  <si>
    <r>
      <rPr>
        <b/>
        <sz val="10"/>
        <color indexed="8"/>
        <rFont val="Arial Narrow"/>
        <family val="2"/>
      </rPr>
      <t>01.02.2020</t>
    </r>
  </si>
  <si>
    <r>
      <rPr>
        <b/>
        <sz val="10"/>
        <color indexed="8"/>
        <rFont val="Arial Narrow"/>
        <family val="2"/>
      </rPr>
      <t>23.07.2020</t>
    </r>
  </si>
  <si>
    <r>
      <rPr>
        <b/>
        <sz val="10"/>
        <color indexed="8"/>
        <rFont val="Arial Narrow"/>
        <family val="2"/>
      </rPr>
      <t>01.09.2020</t>
    </r>
  </si>
  <si>
    <r>
      <rPr>
        <b/>
        <sz val="10"/>
        <color indexed="8"/>
        <rFont val="Arial Narrow"/>
        <family val="2"/>
      </rPr>
      <t>30.10.2020</t>
    </r>
  </si>
  <si>
    <r>
      <rPr>
        <b/>
        <sz val="10"/>
        <color indexed="8"/>
        <rFont val="Arial Narrow"/>
        <family val="2"/>
      </rPr>
      <t>28.10.2020</t>
    </r>
  </si>
  <si>
    <t>datum format is eers jaar, dan maand, dan dag</t>
  </si>
  <si>
    <t>Balance</t>
  </si>
  <si>
    <t>SITE:</t>
  </si>
  <si>
    <t>Radio:</t>
  </si>
  <si>
    <t>866910041429021</t>
  </si>
  <si>
    <t>Mulda bdy</t>
  </si>
  <si>
    <t>866875041632397</t>
  </si>
  <si>
    <t>No Radio (use khamab radio)</t>
  </si>
  <si>
    <t>No Radio</t>
  </si>
  <si>
    <t>866910041429203</t>
  </si>
  <si>
    <t>Boudonna Huis</t>
  </si>
  <si>
    <t>866910041420632</t>
  </si>
  <si>
    <t>No radio</t>
  </si>
  <si>
    <t>Perridon -1</t>
  </si>
  <si>
    <t>Perridon - 2</t>
  </si>
  <si>
    <t>Perridon - 3</t>
  </si>
  <si>
    <t>Perridon - 4</t>
  </si>
  <si>
    <t>Perridon - 5</t>
  </si>
  <si>
    <t>Perridon - 6</t>
  </si>
  <si>
    <t>Khamab - 1</t>
  </si>
  <si>
    <t>Khamab - 2</t>
  </si>
  <si>
    <t>Khamab - 3</t>
  </si>
  <si>
    <t>Khamab - 4</t>
  </si>
  <si>
    <t>Khamab - 5</t>
  </si>
  <si>
    <t>Khamab - 6</t>
  </si>
  <si>
    <t>Khamab - 7</t>
  </si>
  <si>
    <t>Khamab - 8</t>
  </si>
  <si>
    <t>Boudonna Farm - 1</t>
  </si>
  <si>
    <t>Buodonna huis - 2</t>
  </si>
  <si>
    <t>Braunzinkop</t>
  </si>
  <si>
    <t>866875041632355</t>
  </si>
  <si>
    <t>Harmony Piggeries - 1</t>
  </si>
  <si>
    <t>866910041431696</t>
  </si>
  <si>
    <t>BA Tressuary /murry Vilj</t>
  </si>
  <si>
    <t>WF van der Ryst &amp; Seun (Midrlrand)</t>
  </si>
  <si>
    <t>Hartzview</t>
  </si>
  <si>
    <t>Goliatskraal</t>
  </si>
  <si>
    <t>866910041397350</t>
  </si>
  <si>
    <t>Goliatskraal 1</t>
  </si>
  <si>
    <t>Goliatskraal 2</t>
  </si>
  <si>
    <t>Bapsfontein</t>
  </si>
  <si>
    <t>866910041429179</t>
  </si>
  <si>
    <t>RELIEVER</t>
  </si>
  <si>
    <t>SAC Trucks</t>
  </si>
  <si>
    <t>866910041397343</t>
  </si>
  <si>
    <t>866910041397293</t>
  </si>
  <si>
    <t>Mulda Bdy - 1</t>
  </si>
  <si>
    <t>Mulda bdy - 2</t>
  </si>
  <si>
    <t>MJ Honiball</t>
  </si>
  <si>
    <t>866910041429138</t>
  </si>
  <si>
    <t>866910041397285</t>
  </si>
  <si>
    <t>866910041431738</t>
  </si>
  <si>
    <t>Bedford?</t>
  </si>
  <si>
    <t>Beukiskuil</t>
  </si>
  <si>
    <t>Reliever</t>
  </si>
  <si>
    <t>No radio (cust radio)</t>
  </si>
  <si>
    <t>866910041397269</t>
  </si>
  <si>
    <t>Prince 03.07.25 (42 days leave for Dec) +28days rest</t>
  </si>
  <si>
    <t>WP 28.08.25</t>
  </si>
  <si>
    <t>wp 04.07.25</t>
  </si>
  <si>
    <t>wp 09.08.25</t>
  </si>
  <si>
    <t>voucher 22.08.25</t>
  </si>
  <si>
    <t>WP 11.09.25</t>
  </si>
  <si>
    <t>wp 23.06.25</t>
  </si>
  <si>
    <t>wp 29.08.2025</t>
  </si>
  <si>
    <r>
      <rPr>
        <sz val="10"/>
        <color indexed="8"/>
        <rFont val="Arial Narrow"/>
        <family val="2"/>
      </rPr>
      <t>M0L0M0 REUBEN</t>
    </r>
    <r>
      <rPr>
        <sz val="10"/>
        <color rgb="FF000000"/>
        <rFont val="Arial Narrow"/>
        <family val="2"/>
      </rPr>
      <t xml:space="preserve"> 9Allen)</t>
    </r>
  </si>
  <si>
    <t>Mukuaruuze Kapepu (OMO)</t>
  </si>
  <si>
    <t>Verlof uit btl 11.07.25</t>
  </si>
  <si>
    <t>30.09.2025 pension</t>
  </si>
  <si>
    <t>2029509/29</t>
  </si>
  <si>
    <t>okt 25 tbc</t>
  </si>
  <si>
    <t>Daniel SHILONGO</t>
  </si>
  <si>
    <t>06.07.2025</t>
  </si>
  <si>
    <t>Langkuil</t>
  </si>
  <si>
    <t>866910041420673</t>
  </si>
  <si>
    <t>HTJIUHARO</t>
  </si>
  <si>
    <t>11.04.25</t>
  </si>
  <si>
    <t>SAC Trucks Hartebeespoort</t>
  </si>
  <si>
    <t>Windhoek Buskaartjie</t>
  </si>
  <si>
    <t>866910041420657</t>
  </si>
  <si>
    <t>Sierra Novemeber</t>
  </si>
  <si>
    <t>866910041397335</t>
  </si>
  <si>
    <t>866910041420806</t>
  </si>
  <si>
    <t>866910041397228</t>
  </si>
  <si>
    <t>Deceased 09.09.25</t>
  </si>
  <si>
    <t>Okt25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</si>
</sst>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R&quot;#,##0;[Red]\-&quot;R&quot;#,##0"/>
    <numFmt numFmtId="164" formatCode="0_ "/>
  </numFmts>
  <fonts count="39" x14ac:knownFonts="1">
    <font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sz val="10"/>
      <color theme="1"/>
      <name val="Arial Narrow"/>
      <family val="2"/>
    </font>
    <font>
      <sz val="8"/>
      <color theme="1"/>
      <name val="Arial Narrow"/>
      <family val="2"/>
    </font>
    <font>
      <sz val="10"/>
      <color rgb="FF000000"/>
      <name val="Arial Narrow"/>
      <family val="2"/>
    </font>
    <font>
      <b/>
      <u/>
      <sz val="10"/>
      <color indexed="8"/>
      <name val="Arial Narrow"/>
      <family val="2"/>
    </font>
    <font>
      <sz val="10"/>
      <color indexed="8"/>
      <name val="Arial Narrow"/>
      <family val="2"/>
    </font>
    <font>
      <b/>
      <sz val="10"/>
      <color rgb="FFFF0000"/>
      <name val="Arial Narrow"/>
      <family val="2"/>
    </font>
    <font>
      <sz val="16"/>
      <color theme="1"/>
      <name val="Arial"/>
      <family val="2"/>
    </font>
    <font>
      <b/>
      <sz val="10"/>
      <color theme="1"/>
      <name val="Arial Narrow"/>
      <family val="2"/>
    </font>
    <font>
      <b/>
      <sz val="8"/>
      <color theme="1"/>
      <name val="Arial Narrow"/>
      <family val="2"/>
    </font>
    <font>
      <b/>
      <sz val="10"/>
      <color indexed="8"/>
      <name val="Arial Narrow"/>
      <family val="2"/>
    </font>
    <font>
      <b/>
      <sz val="10"/>
      <color rgb="FF000000"/>
      <name val="Arial Narrow"/>
      <family val="2"/>
    </font>
    <font>
      <sz val="10"/>
      <color rgb="FFFF0000"/>
      <name val="Arial Narrow"/>
      <family val="2"/>
    </font>
    <font>
      <sz val="10"/>
      <color indexed="10"/>
      <name val="Arial Narrow"/>
      <family val="2"/>
    </font>
    <font>
      <sz val="8"/>
      <color rgb="FFFF0000"/>
      <name val="Arial Narrow"/>
      <family val="2"/>
    </font>
    <font>
      <sz val="16"/>
      <color rgb="FFFF0000"/>
      <name val="Arial"/>
      <family val="2"/>
    </font>
    <font>
      <sz val="10"/>
      <color rgb="FFF90201"/>
      <name val="Arial Narrow"/>
      <family val="2"/>
    </font>
    <font>
      <sz val="10"/>
      <color theme="1" tint="0.14999847407452621"/>
      <name val="Arial Narrow"/>
      <family val="2"/>
    </font>
    <font>
      <sz val="8"/>
      <color theme="1" tint="0.14999847407452621"/>
      <name val="Arial Narrow"/>
      <family val="2"/>
    </font>
    <font>
      <sz val="16"/>
      <color theme="1" tint="0.14999847407452621"/>
      <name val="Arial"/>
      <family val="2"/>
    </font>
    <font>
      <sz val="10"/>
      <color indexed="63"/>
      <name val="Arial Narrow"/>
      <family val="2"/>
    </font>
    <font>
      <sz val="10"/>
      <color theme="1" tint="0.249977111117893"/>
      <name val="Arial Narrow"/>
      <family val="2"/>
    </font>
    <font>
      <b/>
      <sz val="10"/>
      <color theme="1" tint="0.14999847407452621"/>
      <name val="Arial Narrow"/>
      <family val="2"/>
    </font>
    <font>
      <sz val="10"/>
      <color theme="2" tint="-0.89999084444715716"/>
      <name val="Arial Narrow"/>
      <family val="2"/>
    </font>
    <font>
      <sz val="8"/>
      <color rgb="FF000000"/>
      <name val="Arial Narrow"/>
      <family val="2"/>
    </font>
    <font>
      <sz val="9"/>
      <color theme="1"/>
      <name val="Arial Narrow"/>
      <family val="2"/>
    </font>
    <font>
      <b/>
      <sz val="10"/>
      <color rgb="FFF90201"/>
      <name val="Arial Narrow"/>
      <family val="2"/>
    </font>
    <font>
      <b/>
      <sz val="10"/>
      <color indexed="10"/>
      <name val="Arial Narrow"/>
      <family val="2"/>
    </font>
    <font>
      <b/>
      <sz val="10"/>
      <color theme="2" tint="-0.749992370372631"/>
      <name val="Arial Narrow"/>
      <family val="2"/>
    </font>
    <font>
      <sz val="11"/>
      <color theme="1"/>
      <name val="Arial"/>
      <family val="2"/>
    </font>
    <font>
      <sz val="11"/>
      <color rgb="FFFF0000"/>
      <name val="Arial"/>
      <family val="2"/>
    </font>
    <font>
      <sz val="11"/>
      <color theme="1" tint="0.14999847407452621"/>
      <name val="Arial"/>
      <family val="2"/>
    </font>
    <font>
      <b/>
      <sz val="10"/>
      <color theme="1" tint="0.249977111117893"/>
      <name val="Arial Narrow"/>
      <family val="2"/>
    </font>
    <font>
      <sz val="9"/>
      <color theme="1"/>
      <name val="Arial"/>
      <family val="2"/>
    </font>
    <font>
      <sz val="9"/>
      <color rgb="FFFF0000"/>
      <name val="Arial"/>
      <family val="2"/>
    </font>
    <font>
      <sz val="9"/>
      <color theme="1" tint="0.14999847407452621"/>
      <name val="Arial"/>
      <family val="2"/>
    </font>
    <font>
      <b/>
      <sz val="11"/>
      <color rgb="FFFF0000"/>
      <name val="Arial"/>
      <family val="2"/>
    </font>
    <font>
      <b/>
      <sz val="16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</fills>
  <borders count="19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68">
    <xf numFmtId="0" fontId="0" fillId="0" borderId="0" xfId="0"/>
    <xf numFmtId="0" fontId="1" fillId="0" borderId="0" xfId="0" applyFont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top"/>
    </xf>
    <xf numFmtId="17" fontId="5" fillId="0" borderId="0" xfId="0" applyNumberFormat="1" applyFont="1" applyAlignment="1">
      <alignment horizontal="center" vertical="center" wrapText="1"/>
    </xf>
    <xf numFmtId="1" fontId="4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4" fontId="4" fillId="2" borderId="0" xfId="0" applyNumberFormat="1" applyFont="1" applyFill="1" applyAlignment="1">
      <alignment horizontal="center" vertical="top"/>
    </xf>
    <xf numFmtId="4" fontId="4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top"/>
    </xf>
    <xf numFmtId="0" fontId="8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 wrapText="1"/>
    </xf>
    <xf numFmtId="1" fontId="12" fillId="4" borderId="1" xfId="0" applyNumberFormat="1" applyFont="1" applyFill="1" applyBorder="1" applyAlignment="1">
      <alignment horizontal="center" vertical="center" wrapText="1"/>
    </xf>
    <xf numFmtId="4" fontId="12" fillId="4" borderId="1" xfId="0" applyNumberFormat="1" applyFont="1" applyFill="1" applyBorder="1" applyAlignment="1">
      <alignment horizontal="center" vertical="center"/>
    </xf>
    <xf numFmtId="4" fontId="12" fillId="4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6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 wrapText="1"/>
    </xf>
    <xf numFmtId="1" fontId="4" fillId="4" borderId="0" xfId="0" applyNumberFormat="1" applyFont="1" applyFill="1" applyAlignment="1">
      <alignment horizontal="center" vertical="center" wrapText="1"/>
    </xf>
    <xf numFmtId="4" fontId="4" fillId="4" borderId="0" xfId="0" applyNumberFormat="1" applyFont="1" applyFill="1" applyAlignment="1">
      <alignment horizontal="center" vertical="center"/>
    </xf>
    <xf numFmtId="4" fontId="4" fillId="4" borderId="0" xfId="0" applyNumberFormat="1" applyFont="1" applyFill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164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1" fontId="4" fillId="0" borderId="6" xfId="0" applyNumberFormat="1" applyFont="1" applyBorder="1" applyAlignment="1">
      <alignment horizontal="center" vertical="center" wrapText="1"/>
    </xf>
    <xf numFmtId="164" fontId="4" fillId="0" borderId="6" xfId="0" applyNumberFormat="1" applyFont="1" applyBorder="1" applyAlignment="1">
      <alignment horizontal="center" vertical="center" wrapText="1"/>
    </xf>
    <xf numFmtId="4" fontId="4" fillId="2" borderId="6" xfId="0" applyNumberFormat="1" applyFont="1" applyFill="1" applyBorder="1" applyAlignment="1">
      <alignment horizontal="center" vertical="top"/>
    </xf>
    <xf numFmtId="4" fontId="4" fillId="2" borderId="7" xfId="0" applyNumberFormat="1" applyFont="1" applyFill="1" applyBorder="1" applyAlignment="1">
      <alignment horizontal="center" vertical="top"/>
    </xf>
    <xf numFmtId="4" fontId="4" fillId="0" borderId="7" xfId="0" applyNumberFormat="1" applyFont="1" applyBorder="1" applyAlignment="1">
      <alignment horizontal="center" vertical="center"/>
    </xf>
    <xf numFmtId="4" fontId="4" fillId="2" borderId="7" xfId="0" applyNumberFormat="1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64" fontId="4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1" fontId="4" fillId="0" borderId="5" xfId="0" applyNumberFormat="1" applyFont="1" applyBorder="1" applyAlignment="1">
      <alignment horizontal="center" vertical="center" wrapText="1"/>
    </xf>
    <xf numFmtId="164" fontId="4" fillId="0" borderId="5" xfId="0" applyNumberFormat="1" applyFont="1" applyBorder="1" applyAlignment="1">
      <alignment horizontal="center" vertical="center" wrapText="1"/>
    </xf>
    <xf numFmtId="4" fontId="4" fillId="2" borderId="5" xfId="0" applyNumberFormat="1" applyFont="1" applyFill="1" applyBorder="1" applyAlignment="1">
      <alignment horizontal="center" vertical="top"/>
    </xf>
    <xf numFmtId="4" fontId="4" fillId="0" borderId="5" xfId="0" applyNumberFormat="1" applyFont="1" applyBorder="1" applyAlignment="1">
      <alignment horizontal="center" vertical="center"/>
    </xf>
    <xf numFmtId="4" fontId="4" fillId="2" borderId="5" xfId="0" applyNumberFormat="1" applyFont="1" applyFill="1" applyBorder="1" applyAlignment="1">
      <alignment horizontal="center" vertical="center"/>
    </xf>
    <xf numFmtId="164" fontId="13" fillId="0" borderId="5" xfId="0" applyNumberFormat="1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 wrapText="1"/>
    </xf>
    <xf numFmtId="1" fontId="13" fillId="0" borderId="5" xfId="0" applyNumberFormat="1" applyFont="1" applyBorder="1" applyAlignment="1">
      <alignment horizontal="center" vertical="center" wrapText="1"/>
    </xf>
    <xf numFmtId="164" fontId="13" fillId="0" borderId="5" xfId="0" applyNumberFormat="1" applyFont="1" applyBorder="1" applyAlignment="1">
      <alignment horizontal="center" vertical="center" wrapText="1"/>
    </xf>
    <xf numFmtId="4" fontId="13" fillId="2" borderId="5" xfId="0" applyNumberFormat="1" applyFont="1" applyFill="1" applyBorder="1" applyAlignment="1">
      <alignment horizontal="center" vertical="top"/>
    </xf>
    <xf numFmtId="4" fontId="13" fillId="0" borderId="5" xfId="0" applyNumberFormat="1" applyFont="1" applyBorder="1" applyAlignment="1">
      <alignment horizontal="center" vertical="center"/>
    </xf>
    <xf numFmtId="164" fontId="2" fillId="0" borderId="5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1" fontId="2" fillId="0" borderId="5" xfId="0" applyNumberFormat="1" applyFont="1" applyBorder="1" applyAlignment="1">
      <alignment horizontal="center" vertical="center" wrapText="1"/>
    </xf>
    <xf numFmtId="164" fontId="2" fillId="0" borderId="5" xfId="0" applyNumberFormat="1" applyFont="1" applyBorder="1" applyAlignment="1">
      <alignment horizontal="center" vertical="center" wrapText="1"/>
    </xf>
    <xf numFmtId="4" fontId="2" fillId="2" borderId="5" xfId="0" applyNumberFormat="1" applyFont="1" applyFill="1" applyBorder="1" applyAlignment="1">
      <alignment horizontal="center" vertical="top"/>
    </xf>
    <xf numFmtId="4" fontId="2" fillId="0" borderId="5" xfId="0" applyNumberFormat="1" applyFont="1" applyBorder="1" applyAlignment="1">
      <alignment horizontal="center" vertical="center"/>
    </xf>
    <xf numFmtId="4" fontId="2" fillId="2" borderId="5" xfId="0" applyNumberFormat="1" applyFont="1" applyFill="1" applyBorder="1" applyAlignment="1">
      <alignment horizontal="center" vertical="center"/>
    </xf>
    <xf numFmtId="4" fontId="2" fillId="0" borderId="4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4" fontId="13" fillId="2" borderId="5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left" vertical="top"/>
    </xf>
    <xf numFmtId="0" fontId="16" fillId="0" borderId="0" xfId="0" applyFont="1" applyAlignment="1">
      <alignment horizontal="center" vertical="center" wrapText="1"/>
    </xf>
    <xf numFmtId="164" fontId="17" fillId="0" borderId="5" xfId="0" applyNumberFormat="1" applyFont="1" applyBorder="1" applyAlignment="1">
      <alignment horizontal="center" vertical="center"/>
    </xf>
    <xf numFmtId="4" fontId="4" fillId="0" borderId="5" xfId="0" applyNumberFormat="1" applyFont="1" applyBorder="1" applyAlignment="1">
      <alignment horizontal="center" vertical="top"/>
    </xf>
    <xf numFmtId="0" fontId="18" fillId="0" borderId="5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164" fontId="18" fillId="0" borderId="5" xfId="0" applyNumberFormat="1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 wrapText="1"/>
    </xf>
    <xf numFmtId="1" fontId="18" fillId="0" borderId="5" xfId="0" applyNumberFormat="1" applyFont="1" applyBorder="1" applyAlignment="1">
      <alignment horizontal="center" vertical="center" wrapText="1"/>
    </xf>
    <xf numFmtId="164" fontId="18" fillId="0" borderId="5" xfId="0" applyNumberFormat="1" applyFont="1" applyBorder="1" applyAlignment="1">
      <alignment horizontal="center" vertical="center" wrapText="1"/>
    </xf>
    <xf numFmtId="4" fontId="18" fillId="0" borderId="5" xfId="0" applyNumberFormat="1" applyFont="1" applyBorder="1" applyAlignment="1">
      <alignment horizontal="center" vertical="top"/>
    </xf>
    <xf numFmtId="4" fontId="18" fillId="0" borderId="5" xfId="0" applyNumberFormat="1" applyFont="1" applyBorder="1" applyAlignment="1">
      <alignment horizontal="center" vertical="center"/>
    </xf>
    <xf numFmtId="0" fontId="20" fillId="0" borderId="0" xfId="0" applyFont="1" applyAlignment="1">
      <alignment horizontal="left" vertical="top"/>
    </xf>
    <xf numFmtId="0" fontId="20" fillId="0" borderId="0" xfId="0" applyFont="1" applyAlignment="1">
      <alignment horizontal="center" vertical="center" wrapText="1"/>
    </xf>
    <xf numFmtId="4" fontId="18" fillId="2" borderId="5" xfId="0" applyNumberFormat="1" applyFont="1" applyFill="1" applyBorder="1" applyAlignment="1">
      <alignment horizontal="center" vertical="top"/>
    </xf>
    <xf numFmtId="4" fontId="18" fillId="2" borderId="5" xfId="0" applyNumberFormat="1" applyFont="1" applyFill="1" applyBorder="1" applyAlignment="1">
      <alignment horizontal="center" vertical="center"/>
    </xf>
    <xf numFmtId="4" fontId="13" fillId="2" borderId="4" xfId="0" applyNumberFormat="1" applyFont="1" applyFill="1" applyBorder="1" applyAlignment="1">
      <alignment horizontal="center" vertical="top"/>
    </xf>
    <xf numFmtId="4" fontId="13" fillId="0" borderId="7" xfId="0" applyNumberFormat="1" applyFont="1" applyBorder="1" applyAlignment="1">
      <alignment horizontal="center" vertical="center"/>
    </xf>
    <xf numFmtId="4" fontId="13" fillId="2" borderId="7" xfId="0" applyNumberFormat="1" applyFont="1" applyFill="1" applyBorder="1" applyAlignment="1">
      <alignment horizontal="center" vertical="center"/>
    </xf>
    <xf numFmtId="4" fontId="13" fillId="2" borderId="10" xfId="0" applyNumberFormat="1" applyFont="1" applyFill="1" applyBorder="1" applyAlignment="1">
      <alignment horizontal="center" vertical="top"/>
    </xf>
    <xf numFmtId="4" fontId="13" fillId="2" borderId="11" xfId="0" applyNumberFormat="1" applyFont="1" applyFill="1" applyBorder="1" applyAlignment="1">
      <alignment horizontal="center" vertical="top"/>
    </xf>
    <xf numFmtId="4" fontId="13" fillId="0" borderId="12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4" fontId="18" fillId="2" borderId="4" xfId="0" applyNumberFormat="1" applyFont="1" applyFill="1" applyBorder="1" applyAlignment="1">
      <alignment horizontal="center" vertical="top"/>
    </xf>
    <xf numFmtId="4" fontId="18" fillId="0" borderId="7" xfId="0" applyNumberFormat="1" applyFont="1" applyBorder="1" applyAlignment="1">
      <alignment horizontal="center" vertical="center"/>
    </xf>
    <xf numFmtId="4" fontId="18" fillId="2" borderId="7" xfId="0" applyNumberFormat="1" applyFont="1" applyFill="1" applyBorder="1" applyAlignment="1">
      <alignment horizontal="center" vertical="center"/>
    </xf>
    <xf numFmtId="3" fontId="4" fillId="0" borderId="5" xfId="0" applyNumberFormat="1" applyFont="1" applyBorder="1" applyAlignment="1">
      <alignment horizontal="center" vertical="center"/>
    </xf>
    <xf numFmtId="2" fontId="4" fillId="0" borderId="5" xfId="0" applyNumberFormat="1" applyFont="1" applyBorder="1" applyAlignment="1">
      <alignment horizontal="center" vertical="center" wrapText="1"/>
    </xf>
    <xf numFmtId="2" fontId="4" fillId="0" borderId="5" xfId="0" applyNumberFormat="1" applyFont="1" applyBorder="1" applyAlignment="1">
      <alignment horizontal="center" vertical="top"/>
    </xf>
    <xf numFmtId="2" fontId="4" fillId="0" borderId="5" xfId="0" applyNumberFormat="1" applyFont="1" applyBorder="1" applyAlignment="1">
      <alignment horizontal="center" vertical="center"/>
    </xf>
    <xf numFmtId="3" fontId="13" fillId="0" borderId="5" xfId="0" applyNumberFormat="1" applyFont="1" applyBorder="1" applyAlignment="1">
      <alignment horizontal="center" vertical="center"/>
    </xf>
    <xf numFmtId="2" fontId="13" fillId="0" borderId="5" xfId="0" applyNumberFormat="1" applyFont="1" applyBorder="1" applyAlignment="1">
      <alignment horizontal="center" vertical="center" wrapText="1"/>
    </xf>
    <xf numFmtId="2" fontId="13" fillId="2" borderId="5" xfId="0" applyNumberFormat="1" applyFont="1" applyFill="1" applyBorder="1" applyAlignment="1">
      <alignment horizontal="center" vertical="center" wrapText="1"/>
    </xf>
    <xf numFmtId="2" fontId="13" fillId="2" borderId="5" xfId="0" applyNumberFormat="1" applyFont="1" applyFill="1" applyBorder="1" applyAlignment="1">
      <alignment horizontal="center" vertical="top"/>
    </xf>
    <xf numFmtId="2" fontId="13" fillId="0" borderId="5" xfId="0" applyNumberFormat="1" applyFont="1" applyBorder="1" applyAlignment="1">
      <alignment horizontal="center" vertical="center"/>
    </xf>
    <xf numFmtId="2" fontId="13" fillId="0" borderId="5" xfId="0" applyNumberFormat="1" applyFont="1" applyBorder="1" applyAlignment="1">
      <alignment horizontal="center" vertical="top"/>
    </xf>
    <xf numFmtId="3" fontId="2" fillId="0" borderId="5" xfId="0" applyNumberFormat="1" applyFont="1" applyBorder="1" applyAlignment="1">
      <alignment horizontal="center" vertical="center"/>
    </xf>
    <xf numFmtId="2" fontId="2" fillId="0" borderId="5" xfId="0" applyNumberFormat="1" applyFont="1" applyBorder="1" applyAlignment="1">
      <alignment horizontal="center" vertical="center" wrapText="1"/>
    </xf>
    <xf numFmtId="2" fontId="2" fillId="0" borderId="5" xfId="0" applyNumberFormat="1" applyFont="1" applyBorder="1" applyAlignment="1">
      <alignment horizontal="center" vertical="top"/>
    </xf>
    <xf numFmtId="2" fontId="2" fillId="0" borderId="5" xfId="0" applyNumberFormat="1" applyFont="1" applyBorder="1" applyAlignment="1">
      <alignment horizontal="center" vertical="center"/>
    </xf>
    <xf numFmtId="3" fontId="18" fillId="0" borderId="5" xfId="0" applyNumberFormat="1" applyFont="1" applyBorder="1" applyAlignment="1">
      <alignment horizontal="center" vertical="center"/>
    </xf>
    <xf numFmtId="2" fontId="18" fillId="0" borderId="5" xfId="0" applyNumberFormat="1" applyFont="1" applyBorder="1" applyAlignment="1">
      <alignment horizontal="center" vertical="center" wrapText="1"/>
    </xf>
    <xf numFmtId="2" fontId="18" fillId="0" borderId="5" xfId="0" applyNumberFormat="1" applyFont="1" applyBorder="1" applyAlignment="1">
      <alignment horizontal="center" vertical="top"/>
    </xf>
    <xf numFmtId="2" fontId="18" fillId="0" borderId="5" xfId="0" applyNumberFormat="1" applyFont="1" applyBorder="1" applyAlignment="1">
      <alignment horizontal="center" vertical="center"/>
    </xf>
    <xf numFmtId="0" fontId="19" fillId="5" borderId="5" xfId="0" applyFont="1" applyFill="1" applyBorder="1" applyAlignment="1">
      <alignment horizontal="center" vertical="center"/>
    </xf>
    <xf numFmtId="3" fontId="18" fillId="5" borderId="5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4" fontId="4" fillId="2" borderId="10" xfId="0" applyNumberFormat="1" applyFont="1" applyFill="1" applyBorder="1" applyAlignment="1">
      <alignment horizontal="center" vertical="top"/>
    </xf>
    <xf numFmtId="4" fontId="18" fillId="0" borderId="10" xfId="0" applyNumberFormat="1" applyFont="1" applyBorder="1" applyAlignment="1">
      <alignment horizontal="center" vertical="center"/>
    </xf>
    <xf numFmtId="1" fontId="24" fillId="0" borderId="5" xfId="0" applyNumberFormat="1" applyFont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top"/>
    </xf>
    <xf numFmtId="0" fontId="25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top"/>
    </xf>
    <xf numFmtId="49" fontId="4" fillId="2" borderId="5" xfId="0" applyNumberFormat="1" applyFont="1" applyFill="1" applyBorder="1" applyAlignment="1">
      <alignment horizontal="center" vertical="top"/>
    </xf>
    <xf numFmtId="49" fontId="2" fillId="0" borderId="5" xfId="0" applyNumberFormat="1" applyFont="1" applyBorder="1" applyAlignment="1">
      <alignment horizontal="center" vertical="center" wrapText="1"/>
    </xf>
    <xf numFmtId="0" fontId="26" fillId="0" borderId="5" xfId="0" applyFont="1" applyBorder="1" applyAlignment="1">
      <alignment horizontal="center" vertical="top"/>
    </xf>
    <xf numFmtId="0" fontId="25" fillId="0" borderId="1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top"/>
    </xf>
    <xf numFmtId="1" fontId="4" fillId="0" borderId="10" xfId="0" applyNumberFormat="1" applyFont="1" applyBorder="1" applyAlignment="1">
      <alignment horizontal="center" vertical="center" wrapText="1"/>
    </xf>
    <xf numFmtId="49" fontId="4" fillId="2" borderId="10" xfId="0" applyNumberFormat="1" applyFont="1" applyFill="1" applyBorder="1" applyAlignment="1">
      <alignment horizontal="center" vertical="top"/>
    </xf>
    <xf numFmtId="49" fontId="3" fillId="0" borderId="5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top"/>
    </xf>
    <xf numFmtId="1" fontId="2" fillId="0" borderId="0" xfId="0" applyNumberFormat="1" applyFont="1" applyAlignment="1">
      <alignment horizontal="center" vertical="center" wrapText="1"/>
    </xf>
    <xf numFmtId="4" fontId="2" fillId="2" borderId="0" xfId="0" applyNumberFormat="1" applyFont="1" applyFill="1" applyAlignment="1">
      <alignment horizontal="center" vertical="top"/>
    </xf>
    <xf numFmtId="4" fontId="2" fillId="0" borderId="0" xfId="0" applyNumberFormat="1" applyFont="1" applyAlignment="1">
      <alignment horizontal="center" vertical="center"/>
    </xf>
    <xf numFmtId="4" fontId="4" fillId="0" borderId="4" xfId="0" applyNumberFormat="1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4" fontId="13" fillId="0" borderId="4" xfId="0" applyNumberFormat="1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 wrapText="1"/>
    </xf>
    <xf numFmtId="6" fontId="2" fillId="0" borderId="0" xfId="0" applyNumberFormat="1" applyFont="1" applyAlignment="1">
      <alignment horizontal="center" vertical="center" wrapText="1"/>
    </xf>
    <xf numFmtId="0" fontId="17" fillId="0" borderId="9" xfId="0" applyFont="1" applyBorder="1" applyAlignment="1">
      <alignment horizontal="center" vertical="center"/>
    </xf>
    <xf numFmtId="4" fontId="18" fillId="0" borderId="4" xfId="0" applyNumberFormat="1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4" fontId="2" fillId="0" borderId="13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9" fontId="7" fillId="0" borderId="5" xfId="0" applyNumberFormat="1" applyFont="1" applyBorder="1" applyAlignment="1">
      <alignment horizontal="center" vertical="center"/>
    </xf>
    <xf numFmtId="9" fontId="7" fillId="0" borderId="5" xfId="0" applyNumberFormat="1" applyFont="1" applyBorder="1" applyAlignment="1">
      <alignment horizontal="center" vertical="center" wrapText="1"/>
    </xf>
    <xf numFmtId="4" fontId="2" fillId="0" borderId="10" xfId="0" applyNumberFormat="1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4" fontId="12" fillId="5" borderId="1" xfId="0" applyNumberFormat="1" applyFont="1" applyFill="1" applyBorder="1" applyAlignment="1">
      <alignment horizontal="center" vertical="center"/>
    </xf>
    <xf numFmtId="4" fontId="12" fillId="5" borderId="2" xfId="0" applyNumberFormat="1" applyFont="1" applyFill="1" applyBorder="1" applyAlignment="1">
      <alignment horizontal="center" vertical="center" wrapText="1"/>
    </xf>
    <xf numFmtId="4" fontId="4" fillId="6" borderId="4" xfId="0" applyNumberFormat="1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18" fillId="6" borderId="5" xfId="0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center" vertical="center" wrapText="1"/>
    </xf>
    <xf numFmtId="4" fontId="2" fillId="6" borderId="5" xfId="0" applyNumberFormat="1" applyFont="1" applyFill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" fontId="4" fillId="2" borderId="0" xfId="0" applyNumberFormat="1" applyFont="1" applyFill="1" applyAlignment="1">
      <alignment horizontal="center" vertical="center"/>
    </xf>
    <xf numFmtId="49" fontId="9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4" fontId="12" fillId="4" borderId="2" xfId="0" applyNumberFormat="1" applyFont="1" applyFill="1" applyBorder="1" applyAlignment="1">
      <alignment horizontal="center" vertical="center"/>
    </xf>
    <xf numFmtId="4" fontId="12" fillId="4" borderId="3" xfId="0" applyNumberFormat="1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4" fontId="4" fillId="4" borderId="4" xfId="0" applyNumberFormat="1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49" fontId="2" fillId="5" borderId="5" xfId="0" applyNumberFormat="1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4" fontId="4" fillId="2" borderId="4" xfId="0" applyNumberFormat="1" applyFont="1" applyFill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49" fontId="13" fillId="0" borderId="5" xfId="0" applyNumberFormat="1" applyFont="1" applyBorder="1" applyAlignment="1">
      <alignment horizontal="center" vertical="center"/>
    </xf>
    <xf numFmtId="4" fontId="13" fillId="2" borderId="4" xfId="0" applyNumberFormat="1" applyFont="1" applyFill="1" applyBorder="1" applyAlignment="1">
      <alignment horizontal="center" vertical="center"/>
    </xf>
    <xf numFmtId="49" fontId="18" fillId="0" borderId="5" xfId="0" applyNumberFormat="1" applyFont="1" applyBorder="1" applyAlignment="1">
      <alignment horizontal="center" vertical="center"/>
    </xf>
    <xf numFmtId="4" fontId="18" fillId="2" borderId="4" xfId="0" applyNumberFormat="1" applyFont="1" applyFill="1" applyBorder="1" applyAlignment="1">
      <alignment horizontal="center" vertical="center"/>
    </xf>
    <xf numFmtId="0" fontId="13" fillId="5" borderId="5" xfId="0" applyFont="1" applyFill="1" applyBorder="1" applyAlignment="1">
      <alignment horizontal="center" vertical="center" wrapText="1"/>
    </xf>
    <xf numFmtId="49" fontId="18" fillId="5" borderId="5" xfId="0" applyNumberFormat="1" applyFont="1" applyFill="1" applyBorder="1" applyAlignment="1">
      <alignment horizontal="center" vertical="center"/>
    </xf>
    <xf numFmtId="0" fontId="18" fillId="5" borderId="5" xfId="0" applyFont="1" applyFill="1" applyBorder="1" applyAlignment="1">
      <alignment horizontal="center" vertical="center"/>
    </xf>
    <xf numFmtId="49" fontId="23" fillId="5" borderId="5" xfId="0" applyNumberFormat="1" applyFont="1" applyFill="1" applyBorder="1" applyAlignment="1">
      <alignment horizontal="center" vertical="center"/>
    </xf>
    <xf numFmtId="4" fontId="18" fillId="6" borderId="4" xfId="0" applyNumberFormat="1" applyFont="1" applyFill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4" fontId="7" fillId="2" borderId="5" xfId="0" applyNumberFormat="1" applyFont="1" applyFill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  <xf numFmtId="4" fontId="2" fillId="2" borderId="10" xfId="0" applyNumberFormat="1" applyFont="1" applyFill="1" applyBorder="1" applyAlignment="1">
      <alignment horizontal="center" vertical="center"/>
    </xf>
    <xf numFmtId="4" fontId="9" fillId="5" borderId="14" xfId="0" applyNumberFormat="1" applyFont="1" applyFill="1" applyBorder="1" applyAlignment="1">
      <alignment horizontal="center" vertical="center"/>
    </xf>
    <xf numFmtId="4" fontId="2" fillId="2" borderId="0" xfId="0" applyNumberFormat="1" applyFont="1" applyFill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27" fillId="0" borderId="9" xfId="0" applyFont="1" applyBorder="1" applyAlignment="1">
      <alignment horizontal="center" vertical="center"/>
    </xf>
    <xf numFmtId="0" fontId="23" fillId="0" borderId="9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 wrapText="1"/>
    </xf>
    <xf numFmtId="4" fontId="9" fillId="0" borderId="5" xfId="0" applyNumberFormat="1" applyFont="1" applyBorder="1" applyAlignment="1">
      <alignment horizontal="center" vertical="center"/>
    </xf>
    <xf numFmtId="0" fontId="23" fillId="0" borderId="10" xfId="0" applyFont="1" applyBorder="1" applyAlignment="1">
      <alignment horizontal="center" vertical="center" wrapText="1"/>
    </xf>
    <xf numFmtId="14" fontId="4" fillId="5" borderId="5" xfId="0" applyNumberFormat="1" applyFont="1" applyFill="1" applyBorder="1" applyAlignment="1">
      <alignment horizontal="center" vertical="top"/>
    </xf>
    <xf numFmtId="14" fontId="8" fillId="0" borderId="0" xfId="0" applyNumberFormat="1" applyFont="1" applyAlignment="1">
      <alignment horizontal="left" vertical="top"/>
    </xf>
    <xf numFmtId="14" fontId="4" fillId="5" borderId="7" xfId="0" applyNumberFormat="1" applyFont="1" applyFill="1" applyBorder="1" applyAlignment="1">
      <alignment horizontal="center" vertical="top"/>
    </xf>
    <xf numFmtId="14" fontId="13" fillId="5" borderId="5" xfId="0" applyNumberFormat="1" applyFont="1" applyFill="1" applyBorder="1" applyAlignment="1">
      <alignment horizontal="center" vertical="top"/>
    </xf>
    <xf numFmtId="14" fontId="2" fillId="5" borderId="5" xfId="0" applyNumberFormat="1" applyFont="1" applyFill="1" applyBorder="1" applyAlignment="1">
      <alignment horizontal="center" vertical="top"/>
    </xf>
    <xf numFmtId="14" fontId="18" fillId="5" borderId="5" xfId="0" applyNumberFormat="1" applyFont="1" applyFill="1" applyBorder="1" applyAlignment="1">
      <alignment horizontal="center" vertical="top"/>
    </xf>
    <xf numFmtId="14" fontId="13" fillId="5" borderId="4" xfId="0" applyNumberFormat="1" applyFont="1" applyFill="1" applyBorder="1" applyAlignment="1">
      <alignment horizontal="center" vertical="top"/>
    </xf>
    <xf numFmtId="14" fontId="13" fillId="5" borderId="10" xfId="0" applyNumberFormat="1" applyFont="1" applyFill="1" applyBorder="1" applyAlignment="1">
      <alignment horizontal="center" vertical="top"/>
    </xf>
    <xf numFmtId="14" fontId="13" fillId="5" borderId="11" xfId="0" applyNumberFormat="1" applyFont="1" applyFill="1" applyBorder="1" applyAlignment="1">
      <alignment horizontal="center" vertical="top"/>
    </xf>
    <xf numFmtId="14" fontId="18" fillId="5" borderId="4" xfId="0" applyNumberFormat="1" applyFont="1" applyFill="1" applyBorder="1" applyAlignment="1">
      <alignment horizontal="center" vertical="top"/>
    </xf>
    <xf numFmtId="14" fontId="13" fillId="5" borderId="5" xfId="0" applyNumberFormat="1" applyFont="1" applyFill="1" applyBorder="1" applyAlignment="1">
      <alignment horizontal="center" vertical="center" wrapText="1"/>
    </xf>
    <xf numFmtId="14" fontId="4" fillId="5" borderId="10" xfId="0" applyNumberFormat="1" applyFont="1" applyFill="1" applyBorder="1" applyAlignment="1">
      <alignment horizontal="center" vertical="top"/>
    </xf>
    <xf numFmtId="14" fontId="18" fillId="6" borderId="5" xfId="0" applyNumberFormat="1" applyFont="1" applyFill="1" applyBorder="1" applyAlignment="1">
      <alignment horizontal="center" vertical="center" wrapText="1"/>
    </xf>
    <xf numFmtId="14" fontId="4" fillId="6" borderId="5" xfId="0" applyNumberFormat="1" applyFont="1" applyFill="1" applyBorder="1" applyAlignment="1">
      <alignment horizontal="center" vertical="center"/>
    </xf>
    <xf numFmtId="14" fontId="13" fillId="6" borderId="5" xfId="0" applyNumberFormat="1" applyFont="1" applyFill="1" applyBorder="1" applyAlignment="1">
      <alignment horizontal="center" vertical="center"/>
    </xf>
    <xf numFmtId="14" fontId="2" fillId="6" borderId="5" xfId="0" applyNumberFormat="1" applyFont="1" applyFill="1" applyBorder="1" applyAlignment="1">
      <alignment horizontal="center" vertical="center"/>
    </xf>
    <xf numFmtId="14" fontId="18" fillId="6" borderId="5" xfId="0" applyNumberFormat="1" applyFont="1" applyFill="1" applyBorder="1" applyAlignment="1">
      <alignment horizontal="center" vertical="center"/>
    </xf>
    <xf numFmtId="14" fontId="2" fillId="6" borderId="10" xfId="0" applyNumberFormat="1" applyFont="1" applyFill="1" applyBorder="1" applyAlignment="1">
      <alignment horizontal="center" vertical="center"/>
    </xf>
    <xf numFmtId="14" fontId="18" fillId="6" borderId="10" xfId="0" applyNumberFormat="1" applyFont="1" applyFill="1" applyBorder="1" applyAlignment="1">
      <alignment horizontal="center" vertical="center" wrapText="1"/>
    </xf>
    <xf numFmtId="0" fontId="10" fillId="3" borderId="0" xfId="0" applyFont="1" applyFill="1" applyAlignment="1">
      <alignment horizontal="center" vertical="center" wrapText="1"/>
    </xf>
    <xf numFmtId="3" fontId="12" fillId="6" borderId="1" xfId="0" applyNumberFormat="1" applyFont="1" applyFill="1" applyBorder="1" applyAlignment="1">
      <alignment horizontal="center" vertical="center" wrapText="1"/>
    </xf>
    <xf numFmtId="3" fontId="12" fillId="0" borderId="0" xfId="0" applyNumberFormat="1" applyFont="1" applyAlignment="1">
      <alignment horizontal="center" vertical="center" wrapText="1"/>
    </xf>
    <xf numFmtId="3" fontId="9" fillId="0" borderId="0" xfId="0" applyNumberFormat="1" applyFont="1" applyAlignment="1">
      <alignment horizontal="center" vertical="center" wrapText="1"/>
    </xf>
    <xf numFmtId="14" fontId="17" fillId="6" borderId="5" xfId="0" applyNumberFormat="1" applyFont="1" applyFill="1" applyBorder="1" applyAlignment="1">
      <alignment horizontal="center" vertical="center"/>
    </xf>
    <xf numFmtId="4" fontId="12" fillId="6" borderId="16" xfId="0" applyNumberFormat="1" applyFont="1" applyFill="1" applyBorder="1" applyAlignment="1">
      <alignment horizontal="center" vertical="center" wrapText="1"/>
    </xf>
    <xf numFmtId="0" fontId="12" fillId="6" borderId="17" xfId="0" applyFont="1" applyFill="1" applyBorder="1" applyAlignment="1">
      <alignment horizontal="center" vertical="center" wrapText="1"/>
    </xf>
    <xf numFmtId="0" fontId="11" fillId="7" borderId="0" xfId="0" applyFont="1" applyFill="1" applyAlignment="1">
      <alignment horizontal="center" vertical="center"/>
    </xf>
    <xf numFmtId="0" fontId="12" fillId="7" borderId="0" xfId="0" applyFont="1" applyFill="1" applyAlignment="1">
      <alignment horizontal="center" vertical="center" wrapText="1"/>
    </xf>
    <xf numFmtId="1" fontId="12" fillId="7" borderId="0" xfId="0" applyNumberFormat="1" applyFont="1" applyFill="1" applyAlignment="1">
      <alignment horizontal="center" vertical="center" wrapText="1"/>
    </xf>
    <xf numFmtId="4" fontId="12" fillId="7" borderId="0" xfId="0" applyNumberFormat="1" applyFont="1" applyFill="1" applyAlignment="1">
      <alignment horizontal="center" vertical="center"/>
    </xf>
    <xf numFmtId="4" fontId="12" fillId="7" borderId="0" xfId="0" applyNumberFormat="1" applyFont="1" applyFill="1" applyAlignment="1">
      <alignment horizontal="center" vertical="center" wrapText="1"/>
    </xf>
    <xf numFmtId="4" fontId="12" fillId="7" borderId="7" xfId="0" applyNumberFormat="1" applyFont="1" applyFill="1" applyBorder="1" applyAlignment="1">
      <alignment horizontal="center" vertical="center" wrapText="1"/>
    </xf>
    <xf numFmtId="3" fontId="12" fillId="7" borderId="0" xfId="0" applyNumberFormat="1" applyFont="1" applyFill="1" applyAlignment="1">
      <alignment horizontal="center" vertical="center" wrapText="1"/>
    </xf>
    <xf numFmtId="0" fontId="9" fillId="7" borderId="0" xfId="0" applyFont="1" applyFill="1" applyAlignment="1">
      <alignment horizontal="center" vertical="center"/>
    </xf>
    <xf numFmtId="1" fontId="9" fillId="5" borderId="5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4" fontId="9" fillId="2" borderId="0" xfId="0" applyNumberFormat="1" applyFont="1" applyFill="1" applyAlignment="1">
      <alignment horizontal="center" vertical="top"/>
    </xf>
    <xf numFmtId="0" fontId="29" fillId="0" borderId="0" xfId="0" applyFont="1" applyAlignment="1">
      <alignment horizontal="center" vertical="center"/>
    </xf>
    <xf numFmtId="0" fontId="29" fillId="6" borderId="15" xfId="0" applyFont="1" applyFill="1" applyBorder="1" applyAlignment="1">
      <alignment horizontal="center" vertical="center" wrapText="1"/>
    </xf>
    <xf numFmtId="0" fontId="29" fillId="7" borderId="0" xfId="0" applyFont="1" applyFill="1" applyAlignment="1">
      <alignment horizontal="center" vertical="center" wrapText="1"/>
    </xf>
    <xf numFmtId="1" fontId="29" fillId="6" borderId="5" xfId="0" applyNumberFormat="1" applyFont="1" applyFill="1" applyBorder="1" applyAlignment="1">
      <alignment horizontal="center" vertical="center"/>
    </xf>
    <xf numFmtId="1" fontId="29" fillId="6" borderId="8" xfId="0" applyNumberFormat="1" applyFont="1" applyFill="1" applyBorder="1" applyAlignment="1">
      <alignment horizontal="center" vertical="center"/>
    </xf>
    <xf numFmtId="3" fontId="12" fillId="7" borderId="5" xfId="0" applyNumberFormat="1" applyFont="1" applyFill="1" applyBorder="1" applyAlignment="1">
      <alignment horizontal="center" vertical="center" wrapText="1"/>
    </xf>
    <xf numFmtId="3" fontId="12" fillId="7" borderId="6" xfId="0" applyNumberFormat="1" applyFont="1" applyFill="1" applyBorder="1" applyAlignment="1">
      <alignment horizontal="center" vertical="center" wrapText="1"/>
    </xf>
    <xf numFmtId="4" fontId="9" fillId="0" borderId="0" xfId="0" applyNumberFormat="1" applyFont="1" applyAlignment="1">
      <alignment horizontal="center" vertical="center"/>
    </xf>
    <xf numFmtId="49" fontId="13" fillId="5" borderId="5" xfId="0" applyNumberFormat="1" applyFont="1" applyFill="1" applyBorder="1" applyAlignment="1">
      <alignment horizontal="center" vertical="center" wrapText="1"/>
    </xf>
    <xf numFmtId="49" fontId="4" fillId="2" borderId="0" xfId="0" applyNumberFormat="1" applyFont="1" applyFill="1" applyAlignment="1">
      <alignment horizontal="center" vertical="center" wrapText="1"/>
    </xf>
    <xf numFmtId="49" fontId="12" fillId="5" borderId="1" xfId="0" applyNumberFormat="1" applyFont="1" applyFill="1" applyBorder="1" applyAlignment="1">
      <alignment horizontal="center" vertical="center" wrapText="1"/>
    </xf>
    <xf numFmtId="49" fontId="12" fillId="7" borderId="0" xfId="0" applyNumberFormat="1" applyFont="1" applyFill="1" applyAlignment="1">
      <alignment horizontal="center" vertical="center" wrapText="1"/>
    </xf>
    <xf numFmtId="49" fontId="4" fillId="5" borderId="8" xfId="0" applyNumberFormat="1" applyFont="1" applyFill="1" applyBorder="1" applyAlignment="1">
      <alignment horizontal="center" vertical="center" wrapText="1"/>
    </xf>
    <xf numFmtId="49" fontId="4" fillId="5" borderId="9" xfId="0" applyNumberFormat="1" applyFont="1" applyFill="1" applyBorder="1" applyAlignment="1">
      <alignment horizontal="center" vertical="center" wrapText="1"/>
    </xf>
    <xf numFmtId="49" fontId="13" fillId="5" borderId="9" xfId="0" applyNumberFormat="1" applyFont="1" applyFill="1" applyBorder="1" applyAlignment="1">
      <alignment horizontal="center" vertical="center" wrapText="1"/>
    </xf>
    <xf numFmtId="49" fontId="2" fillId="5" borderId="9" xfId="0" applyNumberFormat="1" applyFont="1" applyFill="1" applyBorder="1" applyAlignment="1">
      <alignment horizontal="center" vertical="center" wrapText="1"/>
    </xf>
    <xf numFmtId="49" fontId="18" fillId="5" borderId="9" xfId="0" applyNumberFormat="1" applyFont="1" applyFill="1" applyBorder="1" applyAlignment="1">
      <alignment horizontal="center" vertical="center" wrapText="1"/>
    </xf>
    <xf numFmtId="49" fontId="13" fillId="5" borderId="18" xfId="0" applyNumberFormat="1" applyFont="1" applyFill="1" applyBorder="1" applyAlignment="1">
      <alignment horizontal="center" vertical="center" wrapText="1"/>
    </xf>
    <xf numFmtId="49" fontId="4" fillId="5" borderId="5" xfId="0" applyNumberFormat="1" applyFont="1" applyFill="1" applyBorder="1" applyAlignment="1">
      <alignment horizontal="center" vertical="center" wrapText="1"/>
    </xf>
    <xf numFmtId="49" fontId="2" fillId="5" borderId="5" xfId="0" applyNumberFormat="1" applyFont="1" applyFill="1" applyBorder="1" applyAlignment="1">
      <alignment horizontal="center" vertical="center" wrapText="1"/>
    </xf>
    <xf numFmtId="49" fontId="4" fillId="5" borderId="6" xfId="0" applyNumberFormat="1" applyFont="1" applyFill="1" applyBorder="1" applyAlignment="1">
      <alignment horizontal="center" vertical="center" wrapText="1"/>
    </xf>
    <xf numFmtId="49" fontId="18" fillId="5" borderId="5" xfId="0" applyNumberFormat="1" applyFont="1" applyFill="1" applyBorder="1" applyAlignment="1">
      <alignment horizontal="center" vertical="center" wrapText="1"/>
    </xf>
    <xf numFmtId="49" fontId="4" fillId="5" borderId="10" xfId="0" applyNumberFormat="1" applyFont="1" applyFill="1" applyBorder="1" applyAlignment="1">
      <alignment horizontal="center" vertical="center" wrapText="1"/>
    </xf>
    <xf numFmtId="49" fontId="9" fillId="2" borderId="0" xfId="0" applyNumberFormat="1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49" fontId="12" fillId="5" borderId="5" xfId="0" applyNumberFormat="1" applyFont="1" applyFill="1" applyBorder="1" applyAlignment="1">
      <alignment horizontal="center" vertical="center" wrapText="1"/>
    </xf>
    <xf numFmtId="4" fontId="4" fillId="2" borderId="0" xfId="0" applyNumberFormat="1" applyFont="1" applyFill="1" applyAlignment="1">
      <alignment horizontal="center" vertical="center" wrapText="1"/>
    </xf>
    <xf numFmtId="4" fontId="12" fillId="5" borderId="1" xfId="0" applyNumberFormat="1" applyFont="1" applyFill="1" applyBorder="1" applyAlignment="1">
      <alignment horizontal="center" vertical="center" wrapText="1"/>
    </xf>
    <xf numFmtId="14" fontId="4" fillId="5" borderId="6" xfId="0" applyNumberFormat="1" applyFont="1" applyFill="1" applyBorder="1" applyAlignment="1">
      <alignment horizontal="center" vertical="center" wrapText="1"/>
    </xf>
    <xf numFmtId="14" fontId="4" fillId="5" borderId="5" xfId="0" applyNumberFormat="1" applyFont="1" applyFill="1" applyBorder="1" applyAlignment="1">
      <alignment horizontal="center" vertical="center" wrapText="1"/>
    </xf>
    <xf numFmtId="14" fontId="2" fillId="5" borderId="5" xfId="0" applyNumberFormat="1" applyFont="1" applyFill="1" applyBorder="1" applyAlignment="1">
      <alignment horizontal="center" vertical="center" wrapText="1"/>
    </xf>
    <xf numFmtId="14" fontId="18" fillId="5" borderId="5" xfId="0" applyNumberFormat="1" applyFont="1" applyFill="1" applyBorder="1" applyAlignment="1">
      <alignment horizontal="center" vertical="center" wrapText="1"/>
    </xf>
    <xf numFmtId="14" fontId="13" fillId="5" borderId="10" xfId="0" applyNumberFormat="1" applyFont="1" applyFill="1" applyBorder="1" applyAlignment="1">
      <alignment horizontal="center" vertical="center" wrapText="1"/>
    </xf>
    <xf numFmtId="14" fontId="4" fillId="5" borderId="10" xfId="0" applyNumberFormat="1" applyFont="1" applyFill="1" applyBorder="1" applyAlignment="1">
      <alignment horizontal="center" vertical="center" wrapText="1"/>
    </xf>
    <xf numFmtId="4" fontId="9" fillId="2" borderId="0" xfId="0" applyNumberFormat="1" applyFont="1" applyFill="1" applyAlignment="1">
      <alignment horizontal="center" vertical="center" wrapText="1"/>
    </xf>
    <xf numFmtId="4" fontId="2" fillId="2" borderId="0" xfId="0" applyNumberFormat="1" applyFont="1" applyFill="1" applyAlignment="1">
      <alignment horizontal="center" vertical="center" wrapText="1"/>
    </xf>
    <xf numFmtId="14" fontId="7" fillId="5" borderId="5" xfId="0" applyNumberFormat="1" applyFont="1" applyFill="1" applyBorder="1" applyAlignment="1">
      <alignment horizontal="center" vertical="center" wrapText="1"/>
    </xf>
    <xf numFmtId="0" fontId="30" fillId="0" borderId="0" xfId="0" applyFont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0" fontId="32" fillId="0" borderId="0" xfId="0" applyFont="1" applyAlignment="1">
      <alignment horizontal="center" vertical="center" wrapText="1"/>
    </xf>
    <xf numFmtId="14" fontId="30" fillId="0" borderId="0" xfId="0" applyNumberFormat="1" applyFont="1" applyAlignment="1">
      <alignment horizontal="center" vertical="center" wrapText="1"/>
    </xf>
    <xf numFmtId="14" fontId="22" fillId="5" borderId="5" xfId="0" applyNumberFormat="1" applyFont="1" applyFill="1" applyBorder="1" applyAlignment="1">
      <alignment horizontal="center" vertical="top"/>
    </xf>
    <xf numFmtId="1" fontId="33" fillId="5" borderId="5" xfId="0" applyNumberFormat="1" applyFont="1" applyFill="1" applyBorder="1" applyAlignment="1">
      <alignment horizontal="center" vertical="center"/>
    </xf>
    <xf numFmtId="164" fontId="22" fillId="0" borderId="5" xfId="0" applyNumberFormat="1" applyFont="1" applyBorder="1" applyAlignment="1">
      <alignment horizontal="center" vertical="center"/>
    </xf>
    <xf numFmtId="1" fontId="22" fillId="0" borderId="5" xfId="0" applyNumberFormat="1" applyFont="1" applyBorder="1" applyAlignment="1">
      <alignment horizontal="center" vertical="center" wrapText="1"/>
    </xf>
    <xf numFmtId="164" fontId="22" fillId="0" borderId="5" xfId="0" applyNumberFormat="1" applyFont="1" applyBorder="1" applyAlignment="1">
      <alignment horizontal="center" vertical="center" wrapText="1"/>
    </xf>
    <xf numFmtId="14" fontId="12" fillId="5" borderId="5" xfId="0" applyNumberFormat="1" applyFont="1" applyFill="1" applyBorder="1" applyAlignment="1">
      <alignment horizontal="center" vertical="top"/>
    </xf>
    <xf numFmtId="164" fontId="4" fillId="8" borderId="5" xfId="0" applyNumberFormat="1" applyFont="1" applyFill="1" applyBorder="1" applyAlignment="1">
      <alignment horizontal="center" vertical="center"/>
    </xf>
    <xf numFmtId="0" fontId="6" fillId="8" borderId="5" xfId="0" applyFont="1" applyFill="1" applyBorder="1" applyAlignment="1">
      <alignment horizontal="center" vertical="center" wrapText="1"/>
    </xf>
    <xf numFmtId="1" fontId="4" fillId="8" borderId="5" xfId="0" applyNumberFormat="1" applyFont="1" applyFill="1" applyBorder="1" applyAlignment="1">
      <alignment horizontal="center" vertical="center" wrapText="1"/>
    </xf>
    <xf numFmtId="164" fontId="4" fillId="8" borderId="5" xfId="0" applyNumberFormat="1" applyFont="1" applyFill="1" applyBorder="1" applyAlignment="1">
      <alignment horizontal="center" vertical="center" wrapText="1"/>
    </xf>
    <xf numFmtId="0" fontId="4" fillId="8" borderId="5" xfId="0" applyFont="1" applyFill="1" applyBorder="1" applyAlignment="1">
      <alignment horizontal="center" vertical="center" wrapText="1"/>
    </xf>
    <xf numFmtId="3" fontId="18" fillId="8" borderId="5" xfId="0" applyNumberFormat="1" applyFont="1" applyFill="1" applyBorder="1" applyAlignment="1">
      <alignment horizontal="center" vertical="center"/>
    </xf>
    <xf numFmtId="2" fontId="18" fillId="8" borderId="5" xfId="0" applyNumberFormat="1" applyFont="1" applyFill="1" applyBorder="1" applyAlignment="1">
      <alignment horizontal="center" vertical="center" wrapText="1"/>
    </xf>
    <xf numFmtId="1" fontId="18" fillId="8" borderId="5" xfId="0" applyNumberFormat="1" applyFont="1" applyFill="1" applyBorder="1" applyAlignment="1">
      <alignment horizontal="center" vertical="center" wrapText="1"/>
    </xf>
    <xf numFmtId="0" fontId="4" fillId="8" borderId="5" xfId="0" applyFont="1" applyFill="1" applyBorder="1" applyAlignment="1">
      <alignment horizontal="center" vertical="center"/>
    </xf>
    <xf numFmtId="1" fontId="24" fillId="8" borderId="5" xfId="0" applyNumberFormat="1" applyFont="1" applyFill="1" applyBorder="1" applyAlignment="1">
      <alignment horizontal="center" vertical="center" wrapText="1"/>
    </xf>
    <xf numFmtId="0" fontId="1" fillId="8" borderId="0" xfId="0" applyFont="1" applyFill="1" applyAlignment="1">
      <alignment horizontal="center" vertical="top"/>
    </xf>
    <xf numFmtId="164" fontId="4" fillId="9" borderId="5" xfId="0" applyNumberFormat="1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 wrapText="1"/>
    </xf>
    <xf numFmtId="1" fontId="4" fillId="9" borderId="5" xfId="0" applyNumberFormat="1" applyFont="1" applyFill="1" applyBorder="1" applyAlignment="1">
      <alignment horizontal="center" vertical="center" wrapText="1"/>
    </xf>
    <xf numFmtId="164" fontId="4" fillId="9" borderId="5" xfId="0" applyNumberFormat="1" applyFont="1" applyFill="1" applyBorder="1" applyAlignment="1">
      <alignment horizontal="center" vertical="center" wrapText="1"/>
    </xf>
    <xf numFmtId="164" fontId="18" fillId="9" borderId="5" xfId="0" applyNumberFormat="1" applyFont="1" applyFill="1" applyBorder="1" applyAlignment="1">
      <alignment horizontal="center" vertical="center"/>
    </xf>
    <xf numFmtId="0" fontId="18" fillId="9" borderId="5" xfId="0" applyFont="1" applyFill="1" applyBorder="1" applyAlignment="1">
      <alignment horizontal="center" vertical="center" wrapText="1"/>
    </xf>
    <xf numFmtId="1" fontId="18" fillId="9" borderId="5" xfId="0" applyNumberFormat="1" applyFont="1" applyFill="1" applyBorder="1" applyAlignment="1">
      <alignment horizontal="center" vertical="center" wrapText="1"/>
    </xf>
    <xf numFmtId="164" fontId="18" fillId="9" borderId="5" xfId="0" applyNumberFormat="1" applyFont="1" applyFill="1" applyBorder="1" applyAlignment="1">
      <alignment horizontal="center" vertical="center" wrapText="1"/>
    </xf>
    <xf numFmtId="3" fontId="4" fillId="9" borderId="5" xfId="0" applyNumberFormat="1" applyFont="1" applyFill="1" applyBorder="1" applyAlignment="1">
      <alignment horizontal="center" vertical="center"/>
    </xf>
    <xf numFmtId="2" fontId="4" fillId="9" borderId="5" xfId="0" applyNumberFormat="1" applyFont="1" applyFill="1" applyBorder="1" applyAlignment="1">
      <alignment horizontal="center" vertical="center" wrapText="1"/>
    </xf>
    <xf numFmtId="0" fontId="4" fillId="9" borderId="5" xfId="0" applyFont="1" applyFill="1" applyBorder="1" applyAlignment="1">
      <alignment horizontal="center" vertical="top"/>
    </xf>
    <xf numFmtId="0" fontId="4" fillId="9" borderId="5" xfId="0" applyFont="1" applyFill="1" applyBorder="1" applyAlignment="1">
      <alignment horizontal="center" vertical="center"/>
    </xf>
    <xf numFmtId="3" fontId="18" fillId="9" borderId="5" xfId="0" applyNumberFormat="1" applyFont="1" applyFill="1" applyBorder="1" applyAlignment="1">
      <alignment horizontal="center" vertical="center"/>
    </xf>
    <xf numFmtId="2" fontId="18" fillId="9" borderId="5" xfId="0" applyNumberFormat="1" applyFont="1" applyFill="1" applyBorder="1" applyAlignment="1">
      <alignment horizontal="center" vertical="center" wrapText="1"/>
    </xf>
    <xf numFmtId="0" fontId="2" fillId="8" borderId="5" xfId="0" applyFont="1" applyFill="1" applyBorder="1" applyAlignment="1">
      <alignment horizontal="center" vertical="top"/>
    </xf>
    <xf numFmtId="0" fontId="2" fillId="8" borderId="5" xfId="0" applyFont="1" applyFill="1" applyBorder="1" applyAlignment="1">
      <alignment horizontal="center" vertical="center" wrapText="1"/>
    </xf>
    <xf numFmtId="1" fontId="2" fillId="8" borderId="5" xfId="0" applyNumberFormat="1" applyFont="1" applyFill="1" applyBorder="1" applyAlignment="1">
      <alignment horizontal="center" vertical="center" wrapText="1"/>
    </xf>
    <xf numFmtId="164" fontId="2" fillId="8" borderId="5" xfId="0" applyNumberFormat="1" applyFont="1" applyFill="1" applyBorder="1" applyAlignment="1">
      <alignment horizontal="center" vertical="center"/>
    </xf>
    <xf numFmtId="164" fontId="2" fillId="8" borderId="5" xfId="0" applyNumberFormat="1" applyFont="1" applyFill="1" applyBorder="1" applyAlignment="1">
      <alignment horizontal="center" vertical="center" wrapText="1"/>
    </xf>
    <xf numFmtId="0" fontId="34" fillId="0" borderId="0" xfId="0" applyFont="1" applyAlignment="1">
      <alignment horizontal="center" vertical="center" wrapText="1"/>
    </xf>
    <xf numFmtId="0" fontId="35" fillId="0" borderId="0" xfId="0" applyFont="1" applyAlignment="1">
      <alignment horizontal="center" vertical="center" wrapText="1"/>
    </xf>
    <xf numFmtId="0" fontId="36" fillId="0" borderId="0" xfId="0" applyFont="1" applyAlignment="1">
      <alignment horizontal="center" vertical="center" wrapText="1"/>
    </xf>
    <xf numFmtId="14" fontId="18" fillId="7" borderId="5" xfId="0" applyNumberFormat="1" applyFont="1" applyFill="1" applyBorder="1" applyAlignment="1">
      <alignment horizontal="center" vertical="top"/>
    </xf>
    <xf numFmtId="14" fontId="4" fillId="8" borderId="5" xfId="0" applyNumberFormat="1" applyFont="1" applyFill="1" applyBorder="1" applyAlignment="1">
      <alignment horizontal="center" vertical="top"/>
    </xf>
    <xf numFmtId="14" fontId="2" fillId="8" borderId="5" xfId="0" applyNumberFormat="1" applyFont="1" applyFill="1" applyBorder="1" applyAlignment="1">
      <alignment horizontal="center" vertical="top"/>
    </xf>
    <xf numFmtId="14" fontId="4" fillId="8" borderId="5" xfId="0" applyNumberFormat="1" applyFont="1" applyFill="1" applyBorder="1" applyAlignment="1">
      <alignment horizontal="center" vertical="center"/>
    </xf>
    <xf numFmtId="14" fontId="18" fillId="8" borderId="5" xfId="0" applyNumberFormat="1" applyFont="1" applyFill="1" applyBorder="1" applyAlignment="1">
      <alignment horizontal="center" vertical="top"/>
    </xf>
    <xf numFmtId="14" fontId="18" fillId="8" borderId="5" xfId="0" applyNumberFormat="1" applyFont="1" applyFill="1" applyBorder="1" applyAlignment="1">
      <alignment horizontal="center" vertical="center"/>
    </xf>
    <xf numFmtId="14" fontId="4" fillId="8" borderId="6" xfId="0" applyNumberFormat="1" applyFont="1" applyFill="1" applyBorder="1" applyAlignment="1">
      <alignment horizontal="center" vertical="top"/>
    </xf>
    <xf numFmtId="14" fontId="22" fillId="8" borderId="5" xfId="0" applyNumberFormat="1" applyFont="1" applyFill="1" applyBorder="1" applyAlignment="1">
      <alignment horizontal="center" vertical="top"/>
    </xf>
    <xf numFmtId="1" fontId="7" fillId="5" borderId="5" xfId="0" applyNumberFormat="1" applyFont="1" applyFill="1" applyBorder="1" applyAlignment="1">
      <alignment horizontal="center" vertical="center"/>
    </xf>
    <xf numFmtId="1" fontId="7" fillId="6" borderId="5" xfId="0" applyNumberFormat="1" applyFont="1" applyFill="1" applyBorder="1" applyAlignment="1">
      <alignment horizontal="center" vertical="center"/>
    </xf>
    <xf numFmtId="0" fontId="37" fillId="0" borderId="0" xfId="0" applyFont="1" applyAlignment="1">
      <alignment horizontal="center" vertical="center" wrapText="1"/>
    </xf>
    <xf numFmtId="14" fontId="7" fillId="5" borderId="5" xfId="0" applyNumberFormat="1" applyFont="1" applyFill="1" applyBorder="1" applyAlignment="1">
      <alignment horizontal="center" vertical="top"/>
    </xf>
    <xf numFmtId="14" fontId="7" fillId="6" borderId="5" xfId="0" applyNumberFormat="1" applyFont="1" applyFill="1" applyBorder="1" applyAlignment="1">
      <alignment horizontal="center" vertical="center"/>
    </xf>
    <xf numFmtId="14" fontId="7" fillId="6" borderId="5" xfId="0" applyNumberFormat="1" applyFont="1" applyFill="1" applyBorder="1" applyAlignment="1">
      <alignment horizontal="center" vertical="center" wrapText="1"/>
    </xf>
    <xf numFmtId="1" fontId="7" fillId="0" borderId="5" xfId="0" applyNumberFormat="1" applyFont="1" applyBorder="1" applyAlignment="1">
      <alignment horizontal="center" vertical="center" wrapText="1"/>
    </xf>
    <xf numFmtId="3" fontId="7" fillId="7" borderId="5" xfId="0" applyNumberFormat="1" applyFont="1" applyFill="1" applyBorder="1" applyAlignment="1">
      <alignment horizontal="center" vertical="center" wrapText="1"/>
    </xf>
    <xf numFmtId="0" fontId="38" fillId="0" borderId="0" xfId="0" applyFont="1" applyAlignment="1">
      <alignment horizontal="left" vertical="top"/>
    </xf>
    <xf numFmtId="0" fontId="1" fillId="7" borderId="0" xfId="0" applyFont="1" applyFill="1" applyAlignment="1">
      <alignment horizontal="center" vertical="top"/>
    </xf>
    <xf numFmtId="0" fontId="3" fillId="7" borderId="5" xfId="0" applyFont="1" applyFill="1" applyBorder="1" applyAlignment="1">
      <alignment horizontal="center" vertical="center"/>
    </xf>
    <xf numFmtId="0" fontId="4" fillId="7" borderId="5" xfId="0" applyFont="1" applyFill="1" applyBorder="1" applyAlignment="1">
      <alignment horizontal="center" vertical="top"/>
    </xf>
    <xf numFmtId="0" fontId="4" fillId="7" borderId="5" xfId="0" applyFont="1" applyFill="1" applyBorder="1" applyAlignment="1">
      <alignment horizontal="center" vertical="center" wrapText="1"/>
    </xf>
    <xf numFmtId="1" fontId="4" fillId="7" borderId="5" xfId="0" applyNumberFormat="1" applyFont="1" applyFill="1" applyBorder="1" applyAlignment="1">
      <alignment horizontal="center" vertical="center" wrapText="1"/>
    </xf>
    <xf numFmtId="14" fontId="4" fillId="7" borderId="5" xfId="0" applyNumberFormat="1" applyFont="1" applyFill="1" applyBorder="1" applyAlignment="1">
      <alignment horizontal="center" vertical="top"/>
    </xf>
    <xf numFmtId="1" fontId="9" fillId="7" borderId="5" xfId="0" applyNumberFormat="1" applyFont="1" applyFill="1" applyBorder="1" applyAlignment="1">
      <alignment horizontal="center" vertical="center"/>
    </xf>
    <xf numFmtId="14" fontId="4" fillId="7" borderId="5" xfId="0" applyNumberFormat="1" applyFont="1" applyFill="1" applyBorder="1" applyAlignment="1">
      <alignment horizontal="center" vertical="center"/>
    </xf>
    <xf numFmtId="14" fontId="2" fillId="7" borderId="5" xfId="0" applyNumberFormat="1" applyFont="1" applyFill="1" applyBorder="1" applyAlignment="1">
      <alignment horizontal="center" vertical="center"/>
    </xf>
    <xf numFmtId="1" fontId="29" fillId="7" borderId="5" xfId="0" applyNumberFormat="1" applyFont="1" applyFill="1" applyBorder="1" applyAlignment="1">
      <alignment horizontal="center" vertical="center"/>
    </xf>
    <xf numFmtId="0" fontId="9" fillId="7" borderId="5" xfId="0" applyFont="1" applyFill="1" applyBorder="1" applyAlignment="1">
      <alignment horizontal="center" vertical="center"/>
    </xf>
    <xf numFmtId="0" fontId="32" fillId="7" borderId="0" xfId="0" applyFont="1" applyFill="1" applyAlignment="1">
      <alignment horizontal="center" vertical="center" wrapText="1"/>
    </xf>
    <xf numFmtId="0" fontId="20" fillId="7" borderId="0" xfId="0" applyFont="1" applyFill="1" applyAlignment="1">
      <alignment horizontal="left" vertical="top"/>
    </xf>
    <xf numFmtId="164" fontId="4" fillId="7" borderId="5" xfId="0" applyNumberFormat="1" applyFont="1" applyFill="1" applyBorder="1" applyAlignment="1">
      <alignment horizontal="center" vertical="center"/>
    </xf>
    <xf numFmtId="164" fontId="4" fillId="7" borderId="5" xfId="0" applyNumberFormat="1" applyFont="1" applyFill="1" applyBorder="1" applyAlignment="1">
      <alignment horizontal="center" vertical="center" wrapText="1"/>
    </xf>
    <xf numFmtId="0" fontId="12" fillId="7" borderId="9" xfId="0" applyFont="1" applyFill="1" applyBorder="1" applyAlignment="1">
      <alignment horizontal="center" vertical="center"/>
    </xf>
    <xf numFmtId="0" fontId="30" fillId="7" borderId="0" xfId="0" applyFont="1" applyFill="1" applyAlignment="1">
      <alignment horizontal="center" vertical="center" wrapText="1"/>
    </xf>
    <xf numFmtId="0" fontId="8" fillId="7" borderId="0" xfId="0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43D30-1BFA-46E9-90E9-B795164E1F55}">
  <sheetPr>
    <pageSetUpPr fitToPage="1"/>
  </sheetPr>
  <dimension ref="A1:P98"/>
  <sheetViews>
    <sheetView workbookViewId="0">
      <pane ySplit="2" topLeftCell="A45" activePane="bottomLeft" state="frozen"/>
      <selection activeCell="C1" sqref="C1"/>
      <selection pane="bottomLeft" activeCell="A75" sqref="A75:XFD75"/>
    </sheetView>
  </sheetViews>
  <sheetFormatPr defaultRowHeight="20" x14ac:dyDescent="0.35"/>
  <cols>
    <col min="1" max="1" width="3.7265625" style="1" customWidth="1"/>
    <col min="2" max="2" width="14.453125" style="2" hidden="1" customWidth="1"/>
    <col min="3" max="3" width="10.7265625" style="125" customWidth="1"/>
    <col min="4" max="4" width="21.453125" style="19" customWidth="1"/>
    <col min="5" max="5" width="25.7265625" style="126" customWidth="1"/>
    <col min="6" max="6" width="10.7265625" style="19" customWidth="1"/>
    <col min="7" max="7" width="13" style="127" customWidth="1"/>
    <col min="8" max="8" width="11.7265625" style="127" customWidth="1"/>
    <col min="9" max="10" width="11.7265625" style="128" customWidth="1"/>
    <col min="11" max="11" width="11.7265625" style="159" customWidth="1"/>
    <col min="12" max="12" width="14.453125" style="253" customWidth="1"/>
    <col min="13" max="13" width="11.7265625" style="238" customWidth="1"/>
    <col min="14" max="14" width="17" style="9" customWidth="1"/>
    <col min="15" max="15" width="11.81640625" style="290" customWidth="1"/>
    <col min="16" max="240" width="9.1796875" style="9"/>
    <col min="241" max="241" width="7.453125" style="9" customWidth="1"/>
    <col min="242" max="242" width="29.453125" style="9" customWidth="1"/>
    <col min="243" max="243" width="17.81640625" style="9" customWidth="1"/>
    <col min="244" max="244" width="16.7265625" style="9" customWidth="1"/>
    <col min="245" max="248" width="10.7265625" style="9" customWidth="1"/>
    <col min="249" max="249" width="12.7265625" style="9" customWidth="1"/>
    <col min="250" max="250" width="12.1796875" style="9" customWidth="1"/>
    <col min="251" max="252" width="10.7265625" style="9" customWidth="1"/>
    <col min="253" max="253" width="12.7265625" style="9" customWidth="1"/>
    <col min="254" max="254" width="10.7265625" style="9" customWidth="1"/>
    <col min="255" max="255" width="13.54296875" style="9" customWidth="1"/>
    <col min="256" max="256" width="10.7265625" style="9" customWidth="1"/>
    <col min="257" max="257" width="12" style="9" customWidth="1"/>
    <col min="258" max="261" width="9.1796875" style="9"/>
    <col min="262" max="263" width="10.7265625" style="9" customWidth="1"/>
    <col min="264" max="496" width="9.1796875" style="9"/>
    <col min="497" max="497" width="7.453125" style="9" customWidth="1"/>
    <col min="498" max="498" width="29.453125" style="9" customWidth="1"/>
    <col min="499" max="499" width="17.81640625" style="9" customWidth="1"/>
    <col min="500" max="500" width="16.7265625" style="9" customWidth="1"/>
    <col min="501" max="504" width="10.7265625" style="9" customWidth="1"/>
    <col min="505" max="505" width="12.7265625" style="9" customWidth="1"/>
    <col min="506" max="506" width="12.1796875" style="9" customWidth="1"/>
    <col min="507" max="508" width="10.7265625" style="9" customWidth="1"/>
    <col min="509" max="509" width="12.7265625" style="9" customWidth="1"/>
    <col min="510" max="510" width="10.7265625" style="9" customWidth="1"/>
    <col min="511" max="511" width="13.54296875" style="9" customWidth="1"/>
    <col min="512" max="512" width="10.7265625" style="9" customWidth="1"/>
    <col min="513" max="513" width="12" style="9" customWidth="1"/>
    <col min="514" max="517" width="9.1796875" style="9"/>
    <col min="518" max="519" width="10.7265625" style="9" customWidth="1"/>
    <col min="520" max="752" width="9.1796875" style="9"/>
    <col min="753" max="753" width="7.453125" style="9" customWidth="1"/>
    <col min="754" max="754" width="29.453125" style="9" customWidth="1"/>
    <col min="755" max="755" width="17.81640625" style="9" customWidth="1"/>
    <col min="756" max="756" width="16.7265625" style="9" customWidth="1"/>
    <col min="757" max="760" width="10.7265625" style="9" customWidth="1"/>
    <col min="761" max="761" width="12.7265625" style="9" customWidth="1"/>
    <col min="762" max="762" width="12.1796875" style="9" customWidth="1"/>
    <col min="763" max="764" width="10.7265625" style="9" customWidth="1"/>
    <col min="765" max="765" width="12.7265625" style="9" customWidth="1"/>
    <col min="766" max="766" width="10.7265625" style="9" customWidth="1"/>
    <col min="767" max="767" width="13.54296875" style="9" customWidth="1"/>
    <col min="768" max="768" width="10.7265625" style="9" customWidth="1"/>
    <col min="769" max="769" width="12" style="9" customWidth="1"/>
    <col min="770" max="773" width="9.1796875" style="9"/>
    <col min="774" max="775" width="10.7265625" style="9" customWidth="1"/>
    <col min="776" max="1008" width="9.1796875" style="9"/>
    <col min="1009" max="1009" width="7.453125" style="9" customWidth="1"/>
    <col min="1010" max="1010" width="29.453125" style="9" customWidth="1"/>
    <col min="1011" max="1011" width="17.81640625" style="9" customWidth="1"/>
    <col min="1012" max="1012" width="16.7265625" style="9" customWidth="1"/>
    <col min="1013" max="1016" width="10.7265625" style="9" customWidth="1"/>
    <col min="1017" max="1017" width="12.7265625" style="9" customWidth="1"/>
    <col min="1018" max="1018" width="12.1796875" style="9" customWidth="1"/>
    <col min="1019" max="1020" width="10.7265625" style="9" customWidth="1"/>
    <col min="1021" max="1021" width="12.7265625" style="9" customWidth="1"/>
    <col min="1022" max="1022" width="10.7265625" style="9" customWidth="1"/>
    <col min="1023" max="1023" width="13.54296875" style="9" customWidth="1"/>
    <col min="1024" max="1024" width="10.7265625" style="9" customWidth="1"/>
    <col min="1025" max="1025" width="12" style="9" customWidth="1"/>
    <col min="1026" max="1029" width="9.1796875" style="9"/>
    <col min="1030" max="1031" width="10.7265625" style="9" customWidth="1"/>
    <col min="1032" max="1264" width="9.1796875" style="9"/>
    <col min="1265" max="1265" width="7.453125" style="9" customWidth="1"/>
    <col min="1266" max="1266" width="29.453125" style="9" customWidth="1"/>
    <col min="1267" max="1267" width="17.81640625" style="9" customWidth="1"/>
    <col min="1268" max="1268" width="16.7265625" style="9" customWidth="1"/>
    <col min="1269" max="1272" width="10.7265625" style="9" customWidth="1"/>
    <col min="1273" max="1273" width="12.7265625" style="9" customWidth="1"/>
    <col min="1274" max="1274" width="12.1796875" style="9" customWidth="1"/>
    <col min="1275" max="1276" width="10.7265625" style="9" customWidth="1"/>
    <col min="1277" max="1277" width="12.7265625" style="9" customWidth="1"/>
    <col min="1278" max="1278" width="10.7265625" style="9" customWidth="1"/>
    <col min="1279" max="1279" width="13.54296875" style="9" customWidth="1"/>
    <col min="1280" max="1280" width="10.7265625" style="9" customWidth="1"/>
    <col min="1281" max="1281" width="12" style="9" customWidth="1"/>
    <col min="1282" max="1285" width="9.1796875" style="9"/>
    <col min="1286" max="1287" width="10.7265625" style="9" customWidth="1"/>
    <col min="1288" max="1520" width="9.1796875" style="9"/>
    <col min="1521" max="1521" width="7.453125" style="9" customWidth="1"/>
    <col min="1522" max="1522" width="29.453125" style="9" customWidth="1"/>
    <col min="1523" max="1523" width="17.81640625" style="9" customWidth="1"/>
    <col min="1524" max="1524" width="16.7265625" style="9" customWidth="1"/>
    <col min="1525" max="1528" width="10.7265625" style="9" customWidth="1"/>
    <col min="1529" max="1529" width="12.7265625" style="9" customWidth="1"/>
    <col min="1530" max="1530" width="12.1796875" style="9" customWidth="1"/>
    <col min="1531" max="1532" width="10.7265625" style="9" customWidth="1"/>
    <col min="1533" max="1533" width="12.7265625" style="9" customWidth="1"/>
    <col min="1534" max="1534" width="10.7265625" style="9" customWidth="1"/>
    <col min="1535" max="1535" width="13.54296875" style="9" customWidth="1"/>
    <col min="1536" max="1536" width="10.7265625" style="9" customWidth="1"/>
    <col min="1537" max="1537" width="12" style="9" customWidth="1"/>
    <col min="1538" max="1541" width="9.1796875" style="9"/>
    <col min="1542" max="1543" width="10.7265625" style="9" customWidth="1"/>
    <col min="1544" max="1776" width="9.1796875" style="9"/>
    <col min="1777" max="1777" width="7.453125" style="9" customWidth="1"/>
    <col min="1778" max="1778" width="29.453125" style="9" customWidth="1"/>
    <col min="1779" max="1779" width="17.81640625" style="9" customWidth="1"/>
    <col min="1780" max="1780" width="16.7265625" style="9" customWidth="1"/>
    <col min="1781" max="1784" width="10.7265625" style="9" customWidth="1"/>
    <col min="1785" max="1785" width="12.7265625" style="9" customWidth="1"/>
    <col min="1786" max="1786" width="12.1796875" style="9" customWidth="1"/>
    <col min="1787" max="1788" width="10.7265625" style="9" customWidth="1"/>
    <col min="1789" max="1789" width="12.7265625" style="9" customWidth="1"/>
    <col min="1790" max="1790" width="10.7265625" style="9" customWidth="1"/>
    <col min="1791" max="1791" width="13.54296875" style="9" customWidth="1"/>
    <col min="1792" max="1792" width="10.7265625" style="9" customWidth="1"/>
    <col min="1793" max="1793" width="12" style="9" customWidth="1"/>
    <col min="1794" max="1797" width="9.1796875" style="9"/>
    <col min="1798" max="1799" width="10.7265625" style="9" customWidth="1"/>
    <col min="1800" max="2032" width="9.1796875" style="9"/>
    <col min="2033" max="2033" width="7.453125" style="9" customWidth="1"/>
    <col min="2034" max="2034" width="29.453125" style="9" customWidth="1"/>
    <col min="2035" max="2035" width="17.81640625" style="9" customWidth="1"/>
    <col min="2036" max="2036" width="16.7265625" style="9" customWidth="1"/>
    <col min="2037" max="2040" width="10.7265625" style="9" customWidth="1"/>
    <col min="2041" max="2041" width="12.7265625" style="9" customWidth="1"/>
    <col min="2042" max="2042" width="12.1796875" style="9" customWidth="1"/>
    <col min="2043" max="2044" width="10.7265625" style="9" customWidth="1"/>
    <col min="2045" max="2045" width="12.7265625" style="9" customWidth="1"/>
    <col min="2046" max="2046" width="10.7265625" style="9" customWidth="1"/>
    <col min="2047" max="2047" width="13.54296875" style="9" customWidth="1"/>
    <col min="2048" max="2048" width="10.7265625" style="9" customWidth="1"/>
    <col min="2049" max="2049" width="12" style="9" customWidth="1"/>
    <col min="2050" max="2053" width="9.1796875" style="9"/>
    <col min="2054" max="2055" width="10.7265625" style="9" customWidth="1"/>
    <col min="2056" max="2288" width="9.1796875" style="9"/>
    <col min="2289" max="2289" width="7.453125" style="9" customWidth="1"/>
    <col min="2290" max="2290" width="29.453125" style="9" customWidth="1"/>
    <col min="2291" max="2291" width="17.81640625" style="9" customWidth="1"/>
    <col min="2292" max="2292" width="16.7265625" style="9" customWidth="1"/>
    <col min="2293" max="2296" width="10.7265625" style="9" customWidth="1"/>
    <col min="2297" max="2297" width="12.7265625" style="9" customWidth="1"/>
    <col min="2298" max="2298" width="12.1796875" style="9" customWidth="1"/>
    <col min="2299" max="2300" width="10.7265625" style="9" customWidth="1"/>
    <col min="2301" max="2301" width="12.7265625" style="9" customWidth="1"/>
    <col min="2302" max="2302" width="10.7265625" style="9" customWidth="1"/>
    <col min="2303" max="2303" width="13.54296875" style="9" customWidth="1"/>
    <col min="2304" max="2304" width="10.7265625" style="9" customWidth="1"/>
    <col min="2305" max="2305" width="12" style="9" customWidth="1"/>
    <col min="2306" max="2309" width="9.1796875" style="9"/>
    <col min="2310" max="2311" width="10.7265625" style="9" customWidth="1"/>
    <col min="2312" max="2544" width="9.1796875" style="9"/>
    <col min="2545" max="2545" width="7.453125" style="9" customWidth="1"/>
    <col min="2546" max="2546" width="29.453125" style="9" customWidth="1"/>
    <col min="2547" max="2547" width="17.81640625" style="9" customWidth="1"/>
    <col min="2548" max="2548" width="16.7265625" style="9" customWidth="1"/>
    <col min="2549" max="2552" width="10.7265625" style="9" customWidth="1"/>
    <col min="2553" max="2553" width="12.7265625" style="9" customWidth="1"/>
    <col min="2554" max="2554" width="12.1796875" style="9" customWidth="1"/>
    <col min="2555" max="2556" width="10.7265625" style="9" customWidth="1"/>
    <col min="2557" max="2557" width="12.7265625" style="9" customWidth="1"/>
    <col min="2558" max="2558" width="10.7265625" style="9" customWidth="1"/>
    <col min="2559" max="2559" width="13.54296875" style="9" customWidth="1"/>
    <col min="2560" max="2560" width="10.7265625" style="9" customWidth="1"/>
    <col min="2561" max="2561" width="12" style="9" customWidth="1"/>
    <col min="2562" max="2565" width="9.1796875" style="9"/>
    <col min="2566" max="2567" width="10.7265625" style="9" customWidth="1"/>
    <col min="2568" max="2800" width="9.1796875" style="9"/>
    <col min="2801" max="2801" width="7.453125" style="9" customWidth="1"/>
    <col min="2802" max="2802" width="29.453125" style="9" customWidth="1"/>
    <col min="2803" max="2803" width="17.81640625" style="9" customWidth="1"/>
    <col min="2804" max="2804" width="16.7265625" style="9" customWidth="1"/>
    <col min="2805" max="2808" width="10.7265625" style="9" customWidth="1"/>
    <col min="2809" max="2809" width="12.7265625" style="9" customWidth="1"/>
    <col min="2810" max="2810" width="12.1796875" style="9" customWidth="1"/>
    <col min="2811" max="2812" width="10.7265625" style="9" customWidth="1"/>
    <col min="2813" max="2813" width="12.7265625" style="9" customWidth="1"/>
    <col min="2814" max="2814" width="10.7265625" style="9" customWidth="1"/>
    <col min="2815" max="2815" width="13.54296875" style="9" customWidth="1"/>
    <col min="2816" max="2816" width="10.7265625" style="9" customWidth="1"/>
    <col min="2817" max="2817" width="12" style="9" customWidth="1"/>
    <col min="2818" max="2821" width="9.1796875" style="9"/>
    <col min="2822" max="2823" width="10.7265625" style="9" customWidth="1"/>
    <col min="2824" max="3056" width="9.1796875" style="9"/>
    <col min="3057" max="3057" width="7.453125" style="9" customWidth="1"/>
    <col min="3058" max="3058" width="29.453125" style="9" customWidth="1"/>
    <col min="3059" max="3059" width="17.81640625" style="9" customWidth="1"/>
    <col min="3060" max="3060" width="16.7265625" style="9" customWidth="1"/>
    <col min="3061" max="3064" width="10.7265625" style="9" customWidth="1"/>
    <col min="3065" max="3065" width="12.7265625" style="9" customWidth="1"/>
    <col min="3066" max="3066" width="12.1796875" style="9" customWidth="1"/>
    <col min="3067" max="3068" width="10.7265625" style="9" customWidth="1"/>
    <col min="3069" max="3069" width="12.7265625" style="9" customWidth="1"/>
    <col min="3070" max="3070" width="10.7265625" style="9" customWidth="1"/>
    <col min="3071" max="3071" width="13.54296875" style="9" customWidth="1"/>
    <col min="3072" max="3072" width="10.7265625" style="9" customWidth="1"/>
    <col min="3073" max="3073" width="12" style="9" customWidth="1"/>
    <col min="3074" max="3077" width="9.1796875" style="9"/>
    <col min="3078" max="3079" width="10.7265625" style="9" customWidth="1"/>
    <col min="3080" max="3312" width="9.1796875" style="9"/>
    <col min="3313" max="3313" width="7.453125" style="9" customWidth="1"/>
    <col min="3314" max="3314" width="29.453125" style="9" customWidth="1"/>
    <col min="3315" max="3315" width="17.81640625" style="9" customWidth="1"/>
    <col min="3316" max="3316" width="16.7265625" style="9" customWidth="1"/>
    <col min="3317" max="3320" width="10.7265625" style="9" customWidth="1"/>
    <col min="3321" max="3321" width="12.7265625" style="9" customWidth="1"/>
    <col min="3322" max="3322" width="12.1796875" style="9" customWidth="1"/>
    <col min="3323" max="3324" width="10.7265625" style="9" customWidth="1"/>
    <col min="3325" max="3325" width="12.7265625" style="9" customWidth="1"/>
    <col min="3326" max="3326" width="10.7265625" style="9" customWidth="1"/>
    <col min="3327" max="3327" width="13.54296875" style="9" customWidth="1"/>
    <col min="3328" max="3328" width="10.7265625" style="9" customWidth="1"/>
    <col min="3329" max="3329" width="12" style="9" customWidth="1"/>
    <col min="3330" max="3333" width="9.1796875" style="9"/>
    <col min="3334" max="3335" width="10.7265625" style="9" customWidth="1"/>
    <col min="3336" max="3568" width="9.1796875" style="9"/>
    <col min="3569" max="3569" width="7.453125" style="9" customWidth="1"/>
    <col min="3570" max="3570" width="29.453125" style="9" customWidth="1"/>
    <col min="3571" max="3571" width="17.81640625" style="9" customWidth="1"/>
    <col min="3572" max="3572" width="16.7265625" style="9" customWidth="1"/>
    <col min="3573" max="3576" width="10.7265625" style="9" customWidth="1"/>
    <col min="3577" max="3577" width="12.7265625" style="9" customWidth="1"/>
    <col min="3578" max="3578" width="12.1796875" style="9" customWidth="1"/>
    <col min="3579" max="3580" width="10.7265625" style="9" customWidth="1"/>
    <col min="3581" max="3581" width="12.7265625" style="9" customWidth="1"/>
    <col min="3582" max="3582" width="10.7265625" style="9" customWidth="1"/>
    <col min="3583" max="3583" width="13.54296875" style="9" customWidth="1"/>
    <col min="3584" max="3584" width="10.7265625" style="9" customWidth="1"/>
    <col min="3585" max="3585" width="12" style="9" customWidth="1"/>
    <col min="3586" max="3589" width="9.1796875" style="9"/>
    <col min="3590" max="3591" width="10.7265625" style="9" customWidth="1"/>
    <col min="3592" max="3824" width="9.1796875" style="9"/>
    <col min="3825" max="3825" width="7.453125" style="9" customWidth="1"/>
    <col min="3826" max="3826" width="29.453125" style="9" customWidth="1"/>
    <col min="3827" max="3827" width="17.81640625" style="9" customWidth="1"/>
    <col min="3828" max="3828" width="16.7265625" style="9" customWidth="1"/>
    <col min="3829" max="3832" width="10.7265625" style="9" customWidth="1"/>
    <col min="3833" max="3833" width="12.7265625" style="9" customWidth="1"/>
    <col min="3834" max="3834" width="12.1796875" style="9" customWidth="1"/>
    <col min="3835" max="3836" width="10.7265625" style="9" customWidth="1"/>
    <col min="3837" max="3837" width="12.7265625" style="9" customWidth="1"/>
    <col min="3838" max="3838" width="10.7265625" style="9" customWidth="1"/>
    <col min="3839" max="3839" width="13.54296875" style="9" customWidth="1"/>
    <col min="3840" max="3840" width="10.7265625" style="9" customWidth="1"/>
    <col min="3841" max="3841" width="12" style="9" customWidth="1"/>
    <col min="3842" max="3845" width="9.1796875" style="9"/>
    <col min="3846" max="3847" width="10.7265625" style="9" customWidth="1"/>
    <col min="3848" max="4080" width="9.1796875" style="9"/>
    <col min="4081" max="4081" width="7.453125" style="9" customWidth="1"/>
    <col min="4082" max="4082" width="29.453125" style="9" customWidth="1"/>
    <col min="4083" max="4083" width="17.81640625" style="9" customWidth="1"/>
    <col min="4084" max="4084" width="16.7265625" style="9" customWidth="1"/>
    <col min="4085" max="4088" width="10.7265625" style="9" customWidth="1"/>
    <col min="4089" max="4089" width="12.7265625" style="9" customWidth="1"/>
    <col min="4090" max="4090" width="12.1796875" style="9" customWidth="1"/>
    <col min="4091" max="4092" width="10.7265625" style="9" customWidth="1"/>
    <col min="4093" max="4093" width="12.7265625" style="9" customWidth="1"/>
    <col min="4094" max="4094" width="10.7265625" style="9" customWidth="1"/>
    <col min="4095" max="4095" width="13.54296875" style="9" customWidth="1"/>
    <col min="4096" max="4096" width="10.7265625" style="9" customWidth="1"/>
    <col min="4097" max="4097" width="12" style="9" customWidth="1"/>
    <col min="4098" max="4101" width="9.1796875" style="9"/>
    <col min="4102" max="4103" width="10.7265625" style="9" customWidth="1"/>
    <col min="4104" max="4336" width="9.1796875" style="9"/>
    <col min="4337" max="4337" width="7.453125" style="9" customWidth="1"/>
    <col min="4338" max="4338" width="29.453125" style="9" customWidth="1"/>
    <col min="4339" max="4339" width="17.81640625" style="9" customWidth="1"/>
    <col min="4340" max="4340" width="16.7265625" style="9" customWidth="1"/>
    <col min="4341" max="4344" width="10.7265625" style="9" customWidth="1"/>
    <col min="4345" max="4345" width="12.7265625" style="9" customWidth="1"/>
    <col min="4346" max="4346" width="12.1796875" style="9" customWidth="1"/>
    <col min="4347" max="4348" width="10.7265625" style="9" customWidth="1"/>
    <col min="4349" max="4349" width="12.7265625" style="9" customWidth="1"/>
    <col min="4350" max="4350" width="10.7265625" style="9" customWidth="1"/>
    <col min="4351" max="4351" width="13.54296875" style="9" customWidth="1"/>
    <col min="4352" max="4352" width="10.7265625" style="9" customWidth="1"/>
    <col min="4353" max="4353" width="12" style="9" customWidth="1"/>
    <col min="4354" max="4357" width="9.1796875" style="9"/>
    <col min="4358" max="4359" width="10.7265625" style="9" customWidth="1"/>
    <col min="4360" max="4592" width="9.1796875" style="9"/>
    <col min="4593" max="4593" width="7.453125" style="9" customWidth="1"/>
    <col min="4594" max="4594" width="29.453125" style="9" customWidth="1"/>
    <col min="4595" max="4595" width="17.81640625" style="9" customWidth="1"/>
    <col min="4596" max="4596" width="16.7265625" style="9" customWidth="1"/>
    <col min="4597" max="4600" width="10.7265625" style="9" customWidth="1"/>
    <col min="4601" max="4601" width="12.7265625" style="9" customWidth="1"/>
    <col min="4602" max="4602" width="12.1796875" style="9" customWidth="1"/>
    <col min="4603" max="4604" width="10.7265625" style="9" customWidth="1"/>
    <col min="4605" max="4605" width="12.7265625" style="9" customWidth="1"/>
    <col min="4606" max="4606" width="10.7265625" style="9" customWidth="1"/>
    <col min="4607" max="4607" width="13.54296875" style="9" customWidth="1"/>
    <col min="4608" max="4608" width="10.7265625" style="9" customWidth="1"/>
    <col min="4609" max="4609" width="12" style="9" customWidth="1"/>
    <col min="4610" max="4613" width="9.1796875" style="9"/>
    <col min="4614" max="4615" width="10.7265625" style="9" customWidth="1"/>
    <col min="4616" max="4848" width="9.1796875" style="9"/>
    <col min="4849" max="4849" width="7.453125" style="9" customWidth="1"/>
    <col min="4850" max="4850" width="29.453125" style="9" customWidth="1"/>
    <col min="4851" max="4851" width="17.81640625" style="9" customWidth="1"/>
    <col min="4852" max="4852" width="16.7265625" style="9" customWidth="1"/>
    <col min="4853" max="4856" width="10.7265625" style="9" customWidth="1"/>
    <col min="4857" max="4857" width="12.7265625" style="9" customWidth="1"/>
    <col min="4858" max="4858" width="12.1796875" style="9" customWidth="1"/>
    <col min="4859" max="4860" width="10.7265625" style="9" customWidth="1"/>
    <col min="4861" max="4861" width="12.7265625" style="9" customWidth="1"/>
    <col min="4862" max="4862" width="10.7265625" style="9" customWidth="1"/>
    <col min="4863" max="4863" width="13.54296875" style="9" customWidth="1"/>
    <col min="4864" max="4864" width="10.7265625" style="9" customWidth="1"/>
    <col min="4865" max="4865" width="12" style="9" customWidth="1"/>
    <col min="4866" max="4869" width="9.1796875" style="9"/>
    <col min="4870" max="4871" width="10.7265625" style="9" customWidth="1"/>
    <col min="4872" max="5104" width="9.1796875" style="9"/>
    <col min="5105" max="5105" width="7.453125" style="9" customWidth="1"/>
    <col min="5106" max="5106" width="29.453125" style="9" customWidth="1"/>
    <col min="5107" max="5107" width="17.81640625" style="9" customWidth="1"/>
    <col min="5108" max="5108" width="16.7265625" style="9" customWidth="1"/>
    <col min="5109" max="5112" width="10.7265625" style="9" customWidth="1"/>
    <col min="5113" max="5113" width="12.7265625" style="9" customWidth="1"/>
    <col min="5114" max="5114" width="12.1796875" style="9" customWidth="1"/>
    <col min="5115" max="5116" width="10.7265625" style="9" customWidth="1"/>
    <col min="5117" max="5117" width="12.7265625" style="9" customWidth="1"/>
    <col min="5118" max="5118" width="10.7265625" style="9" customWidth="1"/>
    <col min="5119" max="5119" width="13.54296875" style="9" customWidth="1"/>
    <col min="5120" max="5120" width="10.7265625" style="9" customWidth="1"/>
    <col min="5121" max="5121" width="12" style="9" customWidth="1"/>
    <col min="5122" max="5125" width="9.1796875" style="9"/>
    <col min="5126" max="5127" width="10.7265625" style="9" customWidth="1"/>
    <col min="5128" max="5360" width="9.1796875" style="9"/>
    <col min="5361" max="5361" width="7.453125" style="9" customWidth="1"/>
    <col min="5362" max="5362" width="29.453125" style="9" customWidth="1"/>
    <col min="5363" max="5363" width="17.81640625" style="9" customWidth="1"/>
    <col min="5364" max="5364" width="16.7265625" style="9" customWidth="1"/>
    <col min="5365" max="5368" width="10.7265625" style="9" customWidth="1"/>
    <col min="5369" max="5369" width="12.7265625" style="9" customWidth="1"/>
    <col min="5370" max="5370" width="12.1796875" style="9" customWidth="1"/>
    <col min="5371" max="5372" width="10.7265625" style="9" customWidth="1"/>
    <col min="5373" max="5373" width="12.7265625" style="9" customWidth="1"/>
    <col min="5374" max="5374" width="10.7265625" style="9" customWidth="1"/>
    <col min="5375" max="5375" width="13.54296875" style="9" customWidth="1"/>
    <col min="5376" max="5376" width="10.7265625" style="9" customWidth="1"/>
    <col min="5377" max="5377" width="12" style="9" customWidth="1"/>
    <col min="5378" max="5381" width="9.1796875" style="9"/>
    <col min="5382" max="5383" width="10.7265625" style="9" customWidth="1"/>
    <col min="5384" max="5616" width="9.1796875" style="9"/>
    <col min="5617" max="5617" width="7.453125" style="9" customWidth="1"/>
    <col min="5618" max="5618" width="29.453125" style="9" customWidth="1"/>
    <col min="5619" max="5619" width="17.81640625" style="9" customWidth="1"/>
    <col min="5620" max="5620" width="16.7265625" style="9" customWidth="1"/>
    <col min="5621" max="5624" width="10.7265625" style="9" customWidth="1"/>
    <col min="5625" max="5625" width="12.7265625" style="9" customWidth="1"/>
    <col min="5626" max="5626" width="12.1796875" style="9" customWidth="1"/>
    <col min="5627" max="5628" width="10.7265625" style="9" customWidth="1"/>
    <col min="5629" max="5629" width="12.7265625" style="9" customWidth="1"/>
    <col min="5630" max="5630" width="10.7265625" style="9" customWidth="1"/>
    <col min="5631" max="5631" width="13.54296875" style="9" customWidth="1"/>
    <col min="5632" max="5632" width="10.7265625" style="9" customWidth="1"/>
    <col min="5633" max="5633" width="12" style="9" customWidth="1"/>
    <col min="5634" max="5637" width="9.1796875" style="9"/>
    <col min="5638" max="5639" width="10.7265625" style="9" customWidth="1"/>
    <col min="5640" max="5872" width="9.1796875" style="9"/>
    <col min="5873" max="5873" width="7.453125" style="9" customWidth="1"/>
    <col min="5874" max="5874" width="29.453125" style="9" customWidth="1"/>
    <col min="5875" max="5875" width="17.81640625" style="9" customWidth="1"/>
    <col min="5876" max="5876" width="16.7265625" style="9" customWidth="1"/>
    <col min="5877" max="5880" width="10.7265625" style="9" customWidth="1"/>
    <col min="5881" max="5881" width="12.7265625" style="9" customWidth="1"/>
    <col min="5882" max="5882" width="12.1796875" style="9" customWidth="1"/>
    <col min="5883" max="5884" width="10.7265625" style="9" customWidth="1"/>
    <col min="5885" max="5885" width="12.7265625" style="9" customWidth="1"/>
    <col min="5886" max="5886" width="10.7265625" style="9" customWidth="1"/>
    <col min="5887" max="5887" width="13.54296875" style="9" customWidth="1"/>
    <col min="5888" max="5888" width="10.7265625" style="9" customWidth="1"/>
    <col min="5889" max="5889" width="12" style="9" customWidth="1"/>
    <col min="5890" max="5893" width="9.1796875" style="9"/>
    <col min="5894" max="5895" width="10.7265625" style="9" customWidth="1"/>
    <col min="5896" max="6128" width="9.1796875" style="9"/>
    <col min="6129" max="6129" width="7.453125" style="9" customWidth="1"/>
    <col min="6130" max="6130" width="29.453125" style="9" customWidth="1"/>
    <col min="6131" max="6131" width="17.81640625" style="9" customWidth="1"/>
    <col min="6132" max="6132" width="16.7265625" style="9" customWidth="1"/>
    <col min="6133" max="6136" width="10.7265625" style="9" customWidth="1"/>
    <col min="6137" max="6137" width="12.7265625" style="9" customWidth="1"/>
    <col min="6138" max="6138" width="12.1796875" style="9" customWidth="1"/>
    <col min="6139" max="6140" width="10.7265625" style="9" customWidth="1"/>
    <col min="6141" max="6141" width="12.7265625" style="9" customWidth="1"/>
    <col min="6142" max="6142" width="10.7265625" style="9" customWidth="1"/>
    <col min="6143" max="6143" width="13.54296875" style="9" customWidth="1"/>
    <col min="6144" max="6144" width="10.7265625" style="9" customWidth="1"/>
    <col min="6145" max="6145" width="12" style="9" customWidth="1"/>
    <col min="6146" max="6149" width="9.1796875" style="9"/>
    <col min="6150" max="6151" width="10.7265625" style="9" customWidth="1"/>
    <col min="6152" max="6384" width="9.1796875" style="9"/>
    <col min="6385" max="6385" width="7.453125" style="9" customWidth="1"/>
    <col min="6386" max="6386" width="29.453125" style="9" customWidth="1"/>
    <col min="6387" max="6387" width="17.81640625" style="9" customWidth="1"/>
    <col min="6388" max="6388" width="16.7265625" style="9" customWidth="1"/>
    <col min="6389" max="6392" width="10.7265625" style="9" customWidth="1"/>
    <col min="6393" max="6393" width="12.7265625" style="9" customWidth="1"/>
    <col min="6394" max="6394" width="12.1796875" style="9" customWidth="1"/>
    <col min="6395" max="6396" width="10.7265625" style="9" customWidth="1"/>
    <col min="6397" max="6397" width="12.7265625" style="9" customWidth="1"/>
    <col min="6398" max="6398" width="10.7265625" style="9" customWidth="1"/>
    <col min="6399" max="6399" width="13.54296875" style="9" customWidth="1"/>
    <col min="6400" max="6400" width="10.7265625" style="9" customWidth="1"/>
    <col min="6401" max="6401" width="12" style="9" customWidth="1"/>
    <col min="6402" max="6405" width="9.1796875" style="9"/>
    <col min="6406" max="6407" width="10.7265625" style="9" customWidth="1"/>
    <col min="6408" max="6640" width="9.1796875" style="9"/>
    <col min="6641" max="6641" width="7.453125" style="9" customWidth="1"/>
    <col min="6642" max="6642" width="29.453125" style="9" customWidth="1"/>
    <col min="6643" max="6643" width="17.81640625" style="9" customWidth="1"/>
    <col min="6644" max="6644" width="16.7265625" style="9" customWidth="1"/>
    <col min="6645" max="6648" width="10.7265625" style="9" customWidth="1"/>
    <col min="6649" max="6649" width="12.7265625" style="9" customWidth="1"/>
    <col min="6650" max="6650" width="12.1796875" style="9" customWidth="1"/>
    <col min="6651" max="6652" width="10.7265625" style="9" customWidth="1"/>
    <col min="6653" max="6653" width="12.7265625" style="9" customWidth="1"/>
    <col min="6654" max="6654" width="10.7265625" style="9" customWidth="1"/>
    <col min="6655" max="6655" width="13.54296875" style="9" customWidth="1"/>
    <col min="6656" max="6656" width="10.7265625" style="9" customWidth="1"/>
    <col min="6657" max="6657" width="12" style="9" customWidth="1"/>
    <col min="6658" max="6661" width="9.1796875" style="9"/>
    <col min="6662" max="6663" width="10.7265625" style="9" customWidth="1"/>
    <col min="6664" max="6896" width="9.1796875" style="9"/>
    <col min="6897" max="6897" width="7.453125" style="9" customWidth="1"/>
    <col min="6898" max="6898" width="29.453125" style="9" customWidth="1"/>
    <col min="6899" max="6899" width="17.81640625" style="9" customWidth="1"/>
    <col min="6900" max="6900" width="16.7265625" style="9" customWidth="1"/>
    <col min="6901" max="6904" width="10.7265625" style="9" customWidth="1"/>
    <col min="6905" max="6905" width="12.7265625" style="9" customWidth="1"/>
    <col min="6906" max="6906" width="12.1796875" style="9" customWidth="1"/>
    <col min="6907" max="6908" width="10.7265625" style="9" customWidth="1"/>
    <col min="6909" max="6909" width="12.7265625" style="9" customWidth="1"/>
    <col min="6910" max="6910" width="10.7265625" style="9" customWidth="1"/>
    <col min="6911" max="6911" width="13.54296875" style="9" customWidth="1"/>
    <col min="6912" max="6912" width="10.7265625" style="9" customWidth="1"/>
    <col min="6913" max="6913" width="12" style="9" customWidth="1"/>
    <col min="6914" max="6917" width="9.1796875" style="9"/>
    <col min="6918" max="6919" width="10.7265625" style="9" customWidth="1"/>
    <col min="6920" max="7152" width="9.1796875" style="9"/>
    <col min="7153" max="7153" width="7.453125" style="9" customWidth="1"/>
    <col min="7154" max="7154" width="29.453125" style="9" customWidth="1"/>
    <col min="7155" max="7155" width="17.81640625" style="9" customWidth="1"/>
    <col min="7156" max="7156" width="16.7265625" style="9" customWidth="1"/>
    <col min="7157" max="7160" width="10.7265625" style="9" customWidth="1"/>
    <col min="7161" max="7161" width="12.7265625" style="9" customWidth="1"/>
    <col min="7162" max="7162" width="12.1796875" style="9" customWidth="1"/>
    <col min="7163" max="7164" width="10.7265625" style="9" customWidth="1"/>
    <col min="7165" max="7165" width="12.7265625" style="9" customWidth="1"/>
    <col min="7166" max="7166" width="10.7265625" style="9" customWidth="1"/>
    <col min="7167" max="7167" width="13.54296875" style="9" customWidth="1"/>
    <col min="7168" max="7168" width="10.7265625" style="9" customWidth="1"/>
    <col min="7169" max="7169" width="12" style="9" customWidth="1"/>
    <col min="7170" max="7173" width="9.1796875" style="9"/>
    <col min="7174" max="7175" width="10.7265625" style="9" customWidth="1"/>
    <col min="7176" max="7408" width="9.1796875" style="9"/>
    <col min="7409" max="7409" width="7.453125" style="9" customWidth="1"/>
    <col min="7410" max="7410" width="29.453125" style="9" customWidth="1"/>
    <col min="7411" max="7411" width="17.81640625" style="9" customWidth="1"/>
    <col min="7412" max="7412" width="16.7265625" style="9" customWidth="1"/>
    <col min="7413" max="7416" width="10.7265625" style="9" customWidth="1"/>
    <col min="7417" max="7417" width="12.7265625" style="9" customWidth="1"/>
    <col min="7418" max="7418" width="12.1796875" style="9" customWidth="1"/>
    <col min="7419" max="7420" width="10.7265625" style="9" customWidth="1"/>
    <col min="7421" max="7421" width="12.7265625" style="9" customWidth="1"/>
    <col min="7422" max="7422" width="10.7265625" style="9" customWidth="1"/>
    <col min="7423" max="7423" width="13.54296875" style="9" customWidth="1"/>
    <col min="7424" max="7424" width="10.7265625" style="9" customWidth="1"/>
    <col min="7425" max="7425" width="12" style="9" customWidth="1"/>
    <col min="7426" max="7429" width="9.1796875" style="9"/>
    <col min="7430" max="7431" width="10.7265625" style="9" customWidth="1"/>
    <col min="7432" max="7664" width="9.1796875" style="9"/>
    <col min="7665" max="7665" width="7.453125" style="9" customWidth="1"/>
    <col min="7666" max="7666" width="29.453125" style="9" customWidth="1"/>
    <col min="7667" max="7667" width="17.81640625" style="9" customWidth="1"/>
    <col min="7668" max="7668" width="16.7265625" style="9" customWidth="1"/>
    <col min="7669" max="7672" width="10.7265625" style="9" customWidth="1"/>
    <col min="7673" max="7673" width="12.7265625" style="9" customWidth="1"/>
    <col min="7674" max="7674" width="12.1796875" style="9" customWidth="1"/>
    <col min="7675" max="7676" width="10.7265625" style="9" customWidth="1"/>
    <col min="7677" max="7677" width="12.7265625" style="9" customWidth="1"/>
    <col min="7678" max="7678" width="10.7265625" style="9" customWidth="1"/>
    <col min="7679" max="7679" width="13.54296875" style="9" customWidth="1"/>
    <col min="7680" max="7680" width="10.7265625" style="9" customWidth="1"/>
    <col min="7681" max="7681" width="12" style="9" customWidth="1"/>
    <col min="7682" max="7685" width="9.1796875" style="9"/>
    <col min="7686" max="7687" width="10.7265625" style="9" customWidth="1"/>
    <col min="7688" max="7920" width="9.1796875" style="9"/>
    <col min="7921" max="7921" width="7.453125" style="9" customWidth="1"/>
    <col min="7922" max="7922" width="29.453125" style="9" customWidth="1"/>
    <col min="7923" max="7923" width="17.81640625" style="9" customWidth="1"/>
    <col min="7924" max="7924" width="16.7265625" style="9" customWidth="1"/>
    <col min="7925" max="7928" width="10.7265625" style="9" customWidth="1"/>
    <col min="7929" max="7929" width="12.7265625" style="9" customWidth="1"/>
    <col min="7930" max="7930" width="12.1796875" style="9" customWidth="1"/>
    <col min="7931" max="7932" width="10.7265625" style="9" customWidth="1"/>
    <col min="7933" max="7933" width="12.7265625" style="9" customWidth="1"/>
    <col min="7934" max="7934" width="10.7265625" style="9" customWidth="1"/>
    <col min="7935" max="7935" width="13.54296875" style="9" customWidth="1"/>
    <col min="7936" max="7936" width="10.7265625" style="9" customWidth="1"/>
    <col min="7937" max="7937" width="12" style="9" customWidth="1"/>
    <col min="7938" max="7941" width="9.1796875" style="9"/>
    <col min="7942" max="7943" width="10.7265625" style="9" customWidth="1"/>
    <col min="7944" max="8176" width="9.1796875" style="9"/>
    <col min="8177" max="8177" width="7.453125" style="9" customWidth="1"/>
    <col min="8178" max="8178" width="29.453125" style="9" customWidth="1"/>
    <col min="8179" max="8179" width="17.81640625" style="9" customWidth="1"/>
    <col min="8180" max="8180" width="16.7265625" style="9" customWidth="1"/>
    <col min="8181" max="8184" width="10.7265625" style="9" customWidth="1"/>
    <col min="8185" max="8185" width="12.7265625" style="9" customWidth="1"/>
    <col min="8186" max="8186" width="12.1796875" style="9" customWidth="1"/>
    <col min="8187" max="8188" width="10.7265625" style="9" customWidth="1"/>
    <col min="8189" max="8189" width="12.7265625" style="9" customWidth="1"/>
    <col min="8190" max="8190" width="10.7265625" style="9" customWidth="1"/>
    <col min="8191" max="8191" width="13.54296875" style="9" customWidth="1"/>
    <col min="8192" max="8192" width="10.7265625" style="9" customWidth="1"/>
    <col min="8193" max="8193" width="12" style="9" customWidth="1"/>
    <col min="8194" max="8197" width="9.1796875" style="9"/>
    <col min="8198" max="8199" width="10.7265625" style="9" customWidth="1"/>
    <col min="8200" max="8432" width="9.1796875" style="9"/>
    <col min="8433" max="8433" width="7.453125" style="9" customWidth="1"/>
    <col min="8434" max="8434" width="29.453125" style="9" customWidth="1"/>
    <col min="8435" max="8435" width="17.81640625" style="9" customWidth="1"/>
    <col min="8436" max="8436" width="16.7265625" style="9" customWidth="1"/>
    <col min="8437" max="8440" width="10.7265625" style="9" customWidth="1"/>
    <col min="8441" max="8441" width="12.7265625" style="9" customWidth="1"/>
    <col min="8442" max="8442" width="12.1796875" style="9" customWidth="1"/>
    <col min="8443" max="8444" width="10.7265625" style="9" customWidth="1"/>
    <col min="8445" max="8445" width="12.7265625" style="9" customWidth="1"/>
    <col min="8446" max="8446" width="10.7265625" style="9" customWidth="1"/>
    <col min="8447" max="8447" width="13.54296875" style="9" customWidth="1"/>
    <col min="8448" max="8448" width="10.7265625" style="9" customWidth="1"/>
    <col min="8449" max="8449" width="12" style="9" customWidth="1"/>
    <col min="8450" max="8453" width="9.1796875" style="9"/>
    <col min="8454" max="8455" width="10.7265625" style="9" customWidth="1"/>
    <col min="8456" max="8688" width="9.1796875" style="9"/>
    <col min="8689" max="8689" width="7.453125" style="9" customWidth="1"/>
    <col min="8690" max="8690" width="29.453125" style="9" customWidth="1"/>
    <col min="8691" max="8691" width="17.81640625" style="9" customWidth="1"/>
    <col min="8692" max="8692" width="16.7265625" style="9" customWidth="1"/>
    <col min="8693" max="8696" width="10.7265625" style="9" customWidth="1"/>
    <col min="8697" max="8697" width="12.7265625" style="9" customWidth="1"/>
    <col min="8698" max="8698" width="12.1796875" style="9" customWidth="1"/>
    <col min="8699" max="8700" width="10.7265625" style="9" customWidth="1"/>
    <col min="8701" max="8701" width="12.7265625" style="9" customWidth="1"/>
    <col min="8702" max="8702" width="10.7265625" style="9" customWidth="1"/>
    <col min="8703" max="8703" width="13.54296875" style="9" customWidth="1"/>
    <col min="8704" max="8704" width="10.7265625" style="9" customWidth="1"/>
    <col min="8705" max="8705" width="12" style="9" customWidth="1"/>
    <col min="8706" max="8709" width="9.1796875" style="9"/>
    <col min="8710" max="8711" width="10.7265625" style="9" customWidth="1"/>
    <col min="8712" max="8944" width="9.1796875" style="9"/>
    <col min="8945" max="8945" width="7.453125" style="9" customWidth="1"/>
    <col min="8946" max="8946" width="29.453125" style="9" customWidth="1"/>
    <col min="8947" max="8947" width="17.81640625" style="9" customWidth="1"/>
    <col min="8948" max="8948" width="16.7265625" style="9" customWidth="1"/>
    <col min="8949" max="8952" width="10.7265625" style="9" customWidth="1"/>
    <col min="8953" max="8953" width="12.7265625" style="9" customWidth="1"/>
    <col min="8954" max="8954" width="12.1796875" style="9" customWidth="1"/>
    <col min="8955" max="8956" width="10.7265625" style="9" customWidth="1"/>
    <col min="8957" max="8957" width="12.7265625" style="9" customWidth="1"/>
    <col min="8958" max="8958" width="10.7265625" style="9" customWidth="1"/>
    <col min="8959" max="8959" width="13.54296875" style="9" customWidth="1"/>
    <col min="8960" max="8960" width="10.7265625" style="9" customWidth="1"/>
    <col min="8961" max="8961" width="12" style="9" customWidth="1"/>
    <col min="8962" max="8965" width="9.1796875" style="9"/>
    <col min="8966" max="8967" width="10.7265625" style="9" customWidth="1"/>
    <col min="8968" max="9200" width="9.1796875" style="9"/>
    <col min="9201" max="9201" width="7.453125" style="9" customWidth="1"/>
    <col min="9202" max="9202" width="29.453125" style="9" customWidth="1"/>
    <col min="9203" max="9203" width="17.81640625" style="9" customWidth="1"/>
    <col min="9204" max="9204" width="16.7265625" style="9" customWidth="1"/>
    <col min="9205" max="9208" width="10.7265625" style="9" customWidth="1"/>
    <col min="9209" max="9209" width="12.7265625" style="9" customWidth="1"/>
    <col min="9210" max="9210" width="12.1796875" style="9" customWidth="1"/>
    <col min="9211" max="9212" width="10.7265625" style="9" customWidth="1"/>
    <col min="9213" max="9213" width="12.7265625" style="9" customWidth="1"/>
    <col min="9214" max="9214" width="10.7265625" style="9" customWidth="1"/>
    <col min="9215" max="9215" width="13.54296875" style="9" customWidth="1"/>
    <col min="9216" max="9216" width="10.7265625" style="9" customWidth="1"/>
    <col min="9217" max="9217" width="12" style="9" customWidth="1"/>
    <col min="9218" max="9221" width="9.1796875" style="9"/>
    <col min="9222" max="9223" width="10.7265625" style="9" customWidth="1"/>
    <col min="9224" max="9456" width="9.1796875" style="9"/>
    <col min="9457" max="9457" width="7.453125" style="9" customWidth="1"/>
    <col min="9458" max="9458" width="29.453125" style="9" customWidth="1"/>
    <col min="9459" max="9459" width="17.81640625" style="9" customWidth="1"/>
    <col min="9460" max="9460" width="16.7265625" style="9" customWidth="1"/>
    <col min="9461" max="9464" width="10.7265625" style="9" customWidth="1"/>
    <col min="9465" max="9465" width="12.7265625" style="9" customWidth="1"/>
    <col min="9466" max="9466" width="12.1796875" style="9" customWidth="1"/>
    <col min="9467" max="9468" width="10.7265625" style="9" customWidth="1"/>
    <col min="9469" max="9469" width="12.7265625" style="9" customWidth="1"/>
    <col min="9470" max="9470" width="10.7265625" style="9" customWidth="1"/>
    <col min="9471" max="9471" width="13.54296875" style="9" customWidth="1"/>
    <col min="9472" max="9472" width="10.7265625" style="9" customWidth="1"/>
    <col min="9473" max="9473" width="12" style="9" customWidth="1"/>
    <col min="9474" max="9477" width="9.1796875" style="9"/>
    <col min="9478" max="9479" width="10.7265625" style="9" customWidth="1"/>
    <col min="9480" max="9712" width="9.1796875" style="9"/>
    <col min="9713" max="9713" width="7.453125" style="9" customWidth="1"/>
    <col min="9714" max="9714" width="29.453125" style="9" customWidth="1"/>
    <col min="9715" max="9715" width="17.81640625" style="9" customWidth="1"/>
    <col min="9716" max="9716" width="16.7265625" style="9" customWidth="1"/>
    <col min="9717" max="9720" width="10.7265625" style="9" customWidth="1"/>
    <col min="9721" max="9721" width="12.7265625" style="9" customWidth="1"/>
    <col min="9722" max="9722" width="12.1796875" style="9" customWidth="1"/>
    <col min="9723" max="9724" width="10.7265625" style="9" customWidth="1"/>
    <col min="9725" max="9725" width="12.7265625" style="9" customWidth="1"/>
    <col min="9726" max="9726" width="10.7265625" style="9" customWidth="1"/>
    <col min="9727" max="9727" width="13.54296875" style="9" customWidth="1"/>
    <col min="9728" max="9728" width="10.7265625" style="9" customWidth="1"/>
    <col min="9729" max="9729" width="12" style="9" customWidth="1"/>
    <col min="9730" max="9733" width="9.1796875" style="9"/>
    <col min="9734" max="9735" width="10.7265625" style="9" customWidth="1"/>
    <col min="9736" max="9968" width="9.1796875" style="9"/>
    <col min="9969" max="9969" width="7.453125" style="9" customWidth="1"/>
    <col min="9970" max="9970" width="29.453125" style="9" customWidth="1"/>
    <col min="9971" max="9971" width="17.81640625" style="9" customWidth="1"/>
    <col min="9972" max="9972" width="16.7265625" style="9" customWidth="1"/>
    <col min="9973" max="9976" width="10.7265625" style="9" customWidth="1"/>
    <col min="9977" max="9977" width="12.7265625" style="9" customWidth="1"/>
    <col min="9978" max="9978" width="12.1796875" style="9" customWidth="1"/>
    <col min="9979" max="9980" width="10.7265625" style="9" customWidth="1"/>
    <col min="9981" max="9981" width="12.7265625" style="9" customWidth="1"/>
    <col min="9982" max="9982" width="10.7265625" style="9" customWidth="1"/>
    <col min="9983" max="9983" width="13.54296875" style="9" customWidth="1"/>
    <col min="9984" max="9984" width="10.7265625" style="9" customWidth="1"/>
    <col min="9985" max="9985" width="12" style="9" customWidth="1"/>
    <col min="9986" max="9989" width="9.1796875" style="9"/>
    <col min="9990" max="9991" width="10.7265625" style="9" customWidth="1"/>
    <col min="9992" max="10224" width="9.1796875" style="9"/>
    <col min="10225" max="10225" width="7.453125" style="9" customWidth="1"/>
    <col min="10226" max="10226" width="29.453125" style="9" customWidth="1"/>
    <col min="10227" max="10227" width="17.81640625" style="9" customWidth="1"/>
    <col min="10228" max="10228" width="16.7265625" style="9" customWidth="1"/>
    <col min="10229" max="10232" width="10.7265625" style="9" customWidth="1"/>
    <col min="10233" max="10233" width="12.7265625" style="9" customWidth="1"/>
    <col min="10234" max="10234" width="12.1796875" style="9" customWidth="1"/>
    <col min="10235" max="10236" width="10.7265625" style="9" customWidth="1"/>
    <col min="10237" max="10237" width="12.7265625" style="9" customWidth="1"/>
    <col min="10238" max="10238" width="10.7265625" style="9" customWidth="1"/>
    <col min="10239" max="10239" width="13.54296875" style="9" customWidth="1"/>
    <col min="10240" max="10240" width="10.7265625" style="9" customWidth="1"/>
    <col min="10241" max="10241" width="12" style="9" customWidth="1"/>
    <col min="10242" max="10245" width="9.1796875" style="9"/>
    <col min="10246" max="10247" width="10.7265625" style="9" customWidth="1"/>
    <col min="10248" max="10480" width="9.1796875" style="9"/>
    <col min="10481" max="10481" width="7.453125" style="9" customWidth="1"/>
    <col min="10482" max="10482" width="29.453125" style="9" customWidth="1"/>
    <col min="10483" max="10483" width="17.81640625" style="9" customWidth="1"/>
    <col min="10484" max="10484" width="16.7265625" style="9" customWidth="1"/>
    <col min="10485" max="10488" width="10.7265625" style="9" customWidth="1"/>
    <col min="10489" max="10489" width="12.7265625" style="9" customWidth="1"/>
    <col min="10490" max="10490" width="12.1796875" style="9" customWidth="1"/>
    <col min="10491" max="10492" width="10.7265625" style="9" customWidth="1"/>
    <col min="10493" max="10493" width="12.7265625" style="9" customWidth="1"/>
    <col min="10494" max="10494" width="10.7265625" style="9" customWidth="1"/>
    <col min="10495" max="10495" width="13.54296875" style="9" customWidth="1"/>
    <col min="10496" max="10496" width="10.7265625" style="9" customWidth="1"/>
    <col min="10497" max="10497" width="12" style="9" customWidth="1"/>
    <col min="10498" max="10501" width="9.1796875" style="9"/>
    <col min="10502" max="10503" width="10.7265625" style="9" customWidth="1"/>
    <col min="10504" max="10736" width="9.1796875" style="9"/>
    <col min="10737" max="10737" width="7.453125" style="9" customWidth="1"/>
    <col min="10738" max="10738" width="29.453125" style="9" customWidth="1"/>
    <col min="10739" max="10739" width="17.81640625" style="9" customWidth="1"/>
    <col min="10740" max="10740" width="16.7265625" style="9" customWidth="1"/>
    <col min="10741" max="10744" width="10.7265625" style="9" customWidth="1"/>
    <col min="10745" max="10745" width="12.7265625" style="9" customWidth="1"/>
    <col min="10746" max="10746" width="12.1796875" style="9" customWidth="1"/>
    <col min="10747" max="10748" width="10.7265625" style="9" customWidth="1"/>
    <col min="10749" max="10749" width="12.7265625" style="9" customWidth="1"/>
    <col min="10750" max="10750" width="10.7265625" style="9" customWidth="1"/>
    <col min="10751" max="10751" width="13.54296875" style="9" customWidth="1"/>
    <col min="10752" max="10752" width="10.7265625" style="9" customWidth="1"/>
    <col min="10753" max="10753" width="12" style="9" customWidth="1"/>
    <col min="10754" max="10757" width="9.1796875" style="9"/>
    <col min="10758" max="10759" width="10.7265625" style="9" customWidth="1"/>
    <col min="10760" max="10992" width="9.1796875" style="9"/>
    <col min="10993" max="10993" width="7.453125" style="9" customWidth="1"/>
    <col min="10994" max="10994" width="29.453125" style="9" customWidth="1"/>
    <col min="10995" max="10995" width="17.81640625" style="9" customWidth="1"/>
    <col min="10996" max="10996" width="16.7265625" style="9" customWidth="1"/>
    <col min="10997" max="11000" width="10.7265625" style="9" customWidth="1"/>
    <col min="11001" max="11001" width="12.7265625" style="9" customWidth="1"/>
    <col min="11002" max="11002" width="12.1796875" style="9" customWidth="1"/>
    <col min="11003" max="11004" width="10.7265625" style="9" customWidth="1"/>
    <col min="11005" max="11005" width="12.7265625" style="9" customWidth="1"/>
    <col min="11006" max="11006" width="10.7265625" style="9" customWidth="1"/>
    <col min="11007" max="11007" width="13.54296875" style="9" customWidth="1"/>
    <col min="11008" max="11008" width="10.7265625" style="9" customWidth="1"/>
    <col min="11009" max="11009" width="12" style="9" customWidth="1"/>
    <col min="11010" max="11013" width="9.1796875" style="9"/>
    <col min="11014" max="11015" width="10.7265625" style="9" customWidth="1"/>
    <col min="11016" max="11248" width="9.1796875" style="9"/>
    <col min="11249" max="11249" width="7.453125" style="9" customWidth="1"/>
    <col min="11250" max="11250" width="29.453125" style="9" customWidth="1"/>
    <col min="11251" max="11251" width="17.81640625" style="9" customWidth="1"/>
    <col min="11252" max="11252" width="16.7265625" style="9" customWidth="1"/>
    <col min="11253" max="11256" width="10.7265625" style="9" customWidth="1"/>
    <col min="11257" max="11257" width="12.7265625" style="9" customWidth="1"/>
    <col min="11258" max="11258" width="12.1796875" style="9" customWidth="1"/>
    <col min="11259" max="11260" width="10.7265625" style="9" customWidth="1"/>
    <col min="11261" max="11261" width="12.7265625" style="9" customWidth="1"/>
    <col min="11262" max="11262" width="10.7265625" style="9" customWidth="1"/>
    <col min="11263" max="11263" width="13.54296875" style="9" customWidth="1"/>
    <col min="11264" max="11264" width="10.7265625" style="9" customWidth="1"/>
    <col min="11265" max="11265" width="12" style="9" customWidth="1"/>
    <col min="11266" max="11269" width="9.1796875" style="9"/>
    <col min="11270" max="11271" width="10.7265625" style="9" customWidth="1"/>
    <col min="11272" max="11504" width="9.1796875" style="9"/>
    <col min="11505" max="11505" width="7.453125" style="9" customWidth="1"/>
    <col min="11506" max="11506" width="29.453125" style="9" customWidth="1"/>
    <col min="11507" max="11507" width="17.81640625" style="9" customWidth="1"/>
    <col min="11508" max="11508" width="16.7265625" style="9" customWidth="1"/>
    <col min="11509" max="11512" width="10.7265625" style="9" customWidth="1"/>
    <col min="11513" max="11513" width="12.7265625" style="9" customWidth="1"/>
    <col min="11514" max="11514" width="12.1796875" style="9" customWidth="1"/>
    <col min="11515" max="11516" width="10.7265625" style="9" customWidth="1"/>
    <col min="11517" max="11517" width="12.7265625" style="9" customWidth="1"/>
    <col min="11518" max="11518" width="10.7265625" style="9" customWidth="1"/>
    <col min="11519" max="11519" width="13.54296875" style="9" customWidth="1"/>
    <col min="11520" max="11520" width="10.7265625" style="9" customWidth="1"/>
    <col min="11521" max="11521" width="12" style="9" customWidth="1"/>
    <col min="11522" max="11525" width="9.1796875" style="9"/>
    <col min="11526" max="11527" width="10.7265625" style="9" customWidth="1"/>
    <col min="11528" max="11760" width="9.1796875" style="9"/>
    <col min="11761" max="11761" width="7.453125" style="9" customWidth="1"/>
    <col min="11762" max="11762" width="29.453125" style="9" customWidth="1"/>
    <col min="11763" max="11763" width="17.81640625" style="9" customWidth="1"/>
    <col min="11764" max="11764" width="16.7265625" style="9" customWidth="1"/>
    <col min="11765" max="11768" width="10.7265625" style="9" customWidth="1"/>
    <col min="11769" max="11769" width="12.7265625" style="9" customWidth="1"/>
    <col min="11770" max="11770" width="12.1796875" style="9" customWidth="1"/>
    <col min="11771" max="11772" width="10.7265625" style="9" customWidth="1"/>
    <col min="11773" max="11773" width="12.7265625" style="9" customWidth="1"/>
    <col min="11774" max="11774" width="10.7265625" style="9" customWidth="1"/>
    <col min="11775" max="11775" width="13.54296875" style="9" customWidth="1"/>
    <col min="11776" max="11776" width="10.7265625" style="9" customWidth="1"/>
    <col min="11777" max="11777" width="12" style="9" customWidth="1"/>
    <col min="11778" max="11781" width="9.1796875" style="9"/>
    <col min="11782" max="11783" width="10.7265625" style="9" customWidth="1"/>
    <col min="11784" max="12016" width="9.1796875" style="9"/>
    <col min="12017" max="12017" width="7.453125" style="9" customWidth="1"/>
    <col min="12018" max="12018" width="29.453125" style="9" customWidth="1"/>
    <col min="12019" max="12019" width="17.81640625" style="9" customWidth="1"/>
    <col min="12020" max="12020" width="16.7265625" style="9" customWidth="1"/>
    <col min="12021" max="12024" width="10.7265625" style="9" customWidth="1"/>
    <col min="12025" max="12025" width="12.7265625" style="9" customWidth="1"/>
    <col min="12026" max="12026" width="12.1796875" style="9" customWidth="1"/>
    <col min="12027" max="12028" width="10.7265625" style="9" customWidth="1"/>
    <col min="12029" max="12029" width="12.7265625" style="9" customWidth="1"/>
    <col min="12030" max="12030" width="10.7265625" style="9" customWidth="1"/>
    <col min="12031" max="12031" width="13.54296875" style="9" customWidth="1"/>
    <col min="12032" max="12032" width="10.7265625" style="9" customWidth="1"/>
    <col min="12033" max="12033" width="12" style="9" customWidth="1"/>
    <col min="12034" max="12037" width="9.1796875" style="9"/>
    <col min="12038" max="12039" width="10.7265625" style="9" customWidth="1"/>
    <col min="12040" max="12272" width="9.1796875" style="9"/>
    <col min="12273" max="12273" width="7.453125" style="9" customWidth="1"/>
    <col min="12274" max="12274" width="29.453125" style="9" customWidth="1"/>
    <col min="12275" max="12275" width="17.81640625" style="9" customWidth="1"/>
    <col min="12276" max="12276" width="16.7265625" style="9" customWidth="1"/>
    <col min="12277" max="12280" width="10.7265625" style="9" customWidth="1"/>
    <col min="12281" max="12281" width="12.7265625" style="9" customWidth="1"/>
    <col min="12282" max="12282" width="12.1796875" style="9" customWidth="1"/>
    <col min="12283" max="12284" width="10.7265625" style="9" customWidth="1"/>
    <col min="12285" max="12285" width="12.7265625" style="9" customWidth="1"/>
    <col min="12286" max="12286" width="10.7265625" style="9" customWidth="1"/>
    <col min="12287" max="12287" width="13.54296875" style="9" customWidth="1"/>
    <col min="12288" max="12288" width="10.7265625" style="9" customWidth="1"/>
    <col min="12289" max="12289" width="12" style="9" customWidth="1"/>
    <col min="12290" max="12293" width="9.1796875" style="9"/>
    <col min="12294" max="12295" width="10.7265625" style="9" customWidth="1"/>
    <col min="12296" max="12528" width="9.1796875" style="9"/>
    <col min="12529" max="12529" width="7.453125" style="9" customWidth="1"/>
    <col min="12530" max="12530" width="29.453125" style="9" customWidth="1"/>
    <col min="12531" max="12531" width="17.81640625" style="9" customWidth="1"/>
    <col min="12532" max="12532" width="16.7265625" style="9" customWidth="1"/>
    <col min="12533" max="12536" width="10.7265625" style="9" customWidth="1"/>
    <col min="12537" max="12537" width="12.7265625" style="9" customWidth="1"/>
    <col min="12538" max="12538" width="12.1796875" style="9" customWidth="1"/>
    <col min="12539" max="12540" width="10.7265625" style="9" customWidth="1"/>
    <col min="12541" max="12541" width="12.7265625" style="9" customWidth="1"/>
    <col min="12542" max="12542" width="10.7265625" style="9" customWidth="1"/>
    <col min="12543" max="12543" width="13.54296875" style="9" customWidth="1"/>
    <col min="12544" max="12544" width="10.7265625" style="9" customWidth="1"/>
    <col min="12545" max="12545" width="12" style="9" customWidth="1"/>
    <col min="12546" max="12549" width="9.1796875" style="9"/>
    <col min="12550" max="12551" width="10.7265625" style="9" customWidth="1"/>
    <col min="12552" max="12784" width="9.1796875" style="9"/>
    <col min="12785" max="12785" width="7.453125" style="9" customWidth="1"/>
    <col min="12786" max="12786" width="29.453125" style="9" customWidth="1"/>
    <col min="12787" max="12787" width="17.81640625" style="9" customWidth="1"/>
    <col min="12788" max="12788" width="16.7265625" style="9" customWidth="1"/>
    <col min="12789" max="12792" width="10.7265625" style="9" customWidth="1"/>
    <col min="12793" max="12793" width="12.7265625" style="9" customWidth="1"/>
    <col min="12794" max="12794" width="12.1796875" style="9" customWidth="1"/>
    <col min="12795" max="12796" width="10.7265625" style="9" customWidth="1"/>
    <col min="12797" max="12797" width="12.7265625" style="9" customWidth="1"/>
    <col min="12798" max="12798" width="10.7265625" style="9" customWidth="1"/>
    <col min="12799" max="12799" width="13.54296875" style="9" customWidth="1"/>
    <col min="12800" max="12800" width="10.7265625" style="9" customWidth="1"/>
    <col min="12801" max="12801" width="12" style="9" customWidth="1"/>
    <col min="12802" max="12805" width="9.1796875" style="9"/>
    <col min="12806" max="12807" width="10.7265625" style="9" customWidth="1"/>
    <col min="12808" max="13040" width="9.1796875" style="9"/>
    <col min="13041" max="13041" width="7.453125" style="9" customWidth="1"/>
    <col min="13042" max="13042" width="29.453125" style="9" customWidth="1"/>
    <col min="13043" max="13043" width="17.81640625" style="9" customWidth="1"/>
    <col min="13044" max="13044" width="16.7265625" style="9" customWidth="1"/>
    <col min="13045" max="13048" width="10.7265625" style="9" customWidth="1"/>
    <col min="13049" max="13049" width="12.7265625" style="9" customWidth="1"/>
    <col min="13050" max="13050" width="12.1796875" style="9" customWidth="1"/>
    <col min="13051" max="13052" width="10.7265625" style="9" customWidth="1"/>
    <col min="13053" max="13053" width="12.7265625" style="9" customWidth="1"/>
    <col min="13054" max="13054" width="10.7265625" style="9" customWidth="1"/>
    <col min="13055" max="13055" width="13.54296875" style="9" customWidth="1"/>
    <col min="13056" max="13056" width="10.7265625" style="9" customWidth="1"/>
    <col min="13057" max="13057" width="12" style="9" customWidth="1"/>
    <col min="13058" max="13061" width="9.1796875" style="9"/>
    <col min="13062" max="13063" width="10.7265625" style="9" customWidth="1"/>
    <col min="13064" max="13296" width="9.1796875" style="9"/>
    <col min="13297" max="13297" width="7.453125" style="9" customWidth="1"/>
    <col min="13298" max="13298" width="29.453125" style="9" customWidth="1"/>
    <col min="13299" max="13299" width="17.81640625" style="9" customWidth="1"/>
    <col min="13300" max="13300" width="16.7265625" style="9" customWidth="1"/>
    <col min="13301" max="13304" width="10.7265625" style="9" customWidth="1"/>
    <col min="13305" max="13305" width="12.7265625" style="9" customWidth="1"/>
    <col min="13306" max="13306" width="12.1796875" style="9" customWidth="1"/>
    <col min="13307" max="13308" width="10.7265625" style="9" customWidth="1"/>
    <col min="13309" max="13309" width="12.7265625" style="9" customWidth="1"/>
    <col min="13310" max="13310" width="10.7265625" style="9" customWidth="1"/>
    <col min="13311" max="13311" width="13.54296875" style="9" customWidth="1"/>
    <col min="13312" max="13312" width="10.7265625" style="9" customWidth="1"/>
    <col min="13313" max="13313" width="12" style="9" customWidth="1"/>
    <col min="13314" max="13317" width="9.1796875" style="9"/>
    <col min="13318" max="13319" width="10.7265625" style="9" customWidth="1"/>
    <col min="13320" max="13552" width="9.1796875" style="9"/>
    <col min="13553" max="13553" width="7.453125" style="9" customWidth="1"/>
    <col min="13554" max="13554" width="29.453125" style="9" customWidth="1"/>
    <col min="13555" max="13555" width="17.81640625" style="9" customWidth="1"/>
    <col min="13556" max="13556" width="16.7265625" style="9" customWidth="1"/>
    <col min="13557" max="13560" width="10.7265625" style="9" customWidth="1"/>
    <col min="13561" max="13561" width="12.7265625" style="9" customWidth="1"/>
    <col min="13562" max="13562" width="12.1796875" style="9" customWidth="1"/>
    <col min="13563" max="13564" width="10.7265625" style="9" customWidth="1"/>
    <col min="13565" max="13565" width="12.7265625" style="9" customWidth="1"/>
    <col min="13566" max="13566" width="10.7265625" style="9" customWidth="1"/>
    <col min="13567" max="13567" width="13.54296875" style="9" customWidth="1"/>
    <col min="13568" max="13568" width="10.7265625" style="9" customWidth="1"/>
    <col min="13569" max="13569" width="12" style="9" customWidth="1"/>
    <col min="13570" max="13573" width="9.1796875" style="9"/>
    <col min="13574" max="13575" width="10.7265625" style="9" customWidth="1"/>
    <col min="13576" max="13808" width="9.1796875" style="9"/>
    <col min="13809" max="13809" width="7.453125" style="9" customWidth="1"/>
    <col min="13810" max="13810" width="29.453125" style="9" customWidth="1"/>
    <col min="13811" max="13811" width="17.81640625" style="9" customWidth="1"/>
    <col min="13812" max="13812" width="16.7265625" style="9" customWidth="1"/>
    <col min="13813" max="13816" width="10.7265625" style="9" customWidth="1"/>
    <col min="13817" max="13817" width="12.7265625" style="9" customWidth="1"/>
    <col min="13818" max="13818" width="12.1796875" style="9" customWidth="1"/>
    <col min="13819" max="13820" width="10.7265625" style="9" customWidth="1"/>
    <col min="13821" max="13821" width="12.7265625" style="9" customWidth="1"/>
    <col min="13822" max="13822" width="10.7265625" style="9" customWidth="1"/>
    <col min="13823" max="13823" width="13.54296875" style="9" customWidth="1"/>
    <col min="13824" max="13824" width="10.7265625" style="9" customWidth="1"/>
    <col min="13825" max="13825" width="12" style="9" customWidth="1"/>
    <col min="13826" max="13829" width="9.1796875" style="9"/>
    <col min="13830" max="13831" width="10.7265625" style="9" customWidth="1"/>
    <col min="13832" max="14064" width="9.1796875" style="9"/>
    <col min="14065" max="14065" width="7.453125" style="9" customWidth="1"/>
    <col min="14066" max="14066" width="29.453125" style="9" customWidth="1"/>
    <col min="14067" max="14067" width="17.81640625" style="9" customWidth="1"/>
    <col min="14068" max="14068" width="16.7265625" style="9" customWidth="1"/>
    <col min="14069" max="14072" width="10.7265625" style="9" customWidth="1"/>
    <col min="14073" max="14073" width="12.7265625" style="9" customWidth="1"/>
    <col min="14074" max="14074" width="12.1796875" style="9" customWidth="1"/>
    <col min="14075" max="14076" width="10.7265625" style="9" customWidth="1"/>
    <col min="14077" max="14077" width="12.7265625" style="9" customWidth="1"/>
    <col min="14078" max="14078" width="10.7265625" style="9" customWidth="1"/>
    <col min="14079" max="14079" width="13.54296875" style="9" customWidth="1"/>
    <col min="14080" max="14080" width="10.7265625" style="9" customWidth="1"/>
    <col min="14081" max="14081" width="12" style="9" customWidth="1"/>
    <col min="14082" max="14085" width="9.1796875" style="9"/>
    <col min="14086" max="14087" width="10.7265625" style="9" customWidth="1"/>
    <col min="14088" max="14320" width="9.1796875" style="9"/>
    <col min="14321" max="14321" width="7.453125" style="9" customWidth="1"/>
    <col min="14322" max="14322" width="29.453125" style="9" customWidth="1"/>
    <col min="14323" max="14323" width="17.81640625" style="9" customWidth="1"/>
    <col min="14324" max="14324" width="16.7265625" style="9" customWidth="1"/>
    <col min="14325" max="14328" width="10.7265625" style="9" customWidth="1"/>
    <col min="14329" max="14329" width="12.7265625" style="9" customWidth="1"/>
    <col min="14330" max="14330" width="12.1796875" style="9" customWidth="1"/>
    <col min="14331" max="14332" width="10.7265625" style="9" customWidth="1"/>
    <col min="14333" max="14333" width="12.7265625" style="9" customWidth="1"/>
    <col min="14334" max="14334" width="10.7265625" style="9" customWidth="1"/>
    <col min="14335" max="14335" width="13.54296875" style="9" customWidth="1"/>
    <col min="14336" max="14336" width="10.7265625" style="9" customWidth="1"/>
    <col min="14337" max="14337" width="12" style="9" customWidth="1"/>
    <col min="14338" max="14341" width="9.1796875" style="9"/>
    <col min="14342" max="14343" width="10.7265625" style="9" customWidth="1"/>
    <col min="14344" max="14576" width="9.1796875" style="9"/>
    <col min="14577" max="14577" width="7.453125" style="9" customWidth="1"/>
    <col min="14578" max="14578" width="29.453125" style="9" customWidth="1"/>
    <col min="14579" max="14579" width="17.81640625" style="9" customWidth="1"/>
    <col min="14580" max="14580" width="16.7265625" style="9" customWidth="1"/>
    <col min="14581" max="14584" width="10.7265625" style="9" customWidth="1"/>
    <col min="14585" max="14585" width="12.7265625" style="9" customWidth="1"/>
    <col min="14586" max="14586" width="12.1796875" style="9" customWidth="1"/>
    <col min="14587" max="14588" width="10.7265625" style="9" customWidth="1"/>
    <col min="14589" max="14589" width="12.7265625" style="9" customWidth="1"/>
    <col min="14590" max="14590" width="10.7265625" style="9" customWidth="1"/>
    <col min="14591" max="14591" width="13.54296875" style="9" customWidth="1"/>
    <col min="14592" max="14592" width="10.7265625" style="9" customWidth="1"/>
    <col min="14593" max="14593" width="12" style="9" customWidth="1"/>
    <col min="14594" max="14597" width="9.1796875" style="9"/>
    <col min="14598" max="14599" width="10.7265625" style="9" customWidth="1"/>
    <col min="14600" max="14832" width="9.1796875" style="9"/>
    <col min="14833" max="14833" width="7.453125" style="9" customWidth="1"/>
    <col min="14834" max="14834" width="29.453125" style="9" customWidth="1"/>
    <col min="14835" max="14835" width="17.81640625" style="9" customWidth="1"/>
    <col min="14836" max="14836" width="16.7265625" style="9" customWidth="1"/>
    <col min="14837" max="14840" width="10.7265625" style="9" customWidth="1"/>
    <col min="14841" max="14841" width="12.7265625" style="9" customWidth="1"/>
    <col min="14842" max="14842" width="12.1796875" style="9" customWidth="1"/>
    <col min="14843" max="14844" width="10.7265625" style="9" customWidth="1"/>
    <col min="14845" max="14845" width="12.7265625" style="9" customWidth="1"/>
    <col min="14846" max="14846" width="10.7265625" style="9" customWidth="1"/>
    <col min="14847" max="14847" width="13.54296875" style="9" customWidth="1"/>
    <col min="14848" max="14848" width="10.7265625" style="9" customWidth="1"/>
    <col min="14849" max="14849" width="12" style="9" customWidth="1"/>
    <col min="14850" max="14853" width="9.1796875" style="9"/>
    <col min="14854" max="14855" width="10.7265625" style="9" customWidth="1"/>
    <col min="14856" max="15088" width="9.1796875" style="9"/>
    <col min="15089" max="15089" width="7.453125" style="9" customWidth="1"/>
    <col min="15090" max="15090" width="29.453125" style="9" customWidth="1"/>
    <col min="15091" max="15091" width="17.81640625" style="9" customWidth="1"/>
    <col min="15092" max="15092" width="16.7265625" style="9" customWidth="1"/>
    <col min="15093" max="15096" width="10.7265625" style="9" customWidth="1"/>
    <col min="15097" max="15097" width="12.7265625" style="9" customWidth="1"/>
    <col min="15098" max="15098" width="12.1796875" style="9" customWidth="1"/>
    <col min="15099" max="15100" width="10.7265625" style="9" customWidth="1"/>
    <col min="15101" max="15101" width="12.7265625" style="9" customWidth="1"/>
    <col min="15102" max="15102" width="10.7265625" style="9" customWidth="1"/>
    <col min="15103" max="15103" width="13.54296875" style="9" customWidth="1"/>
    <col min="15104" max="15104" width="10.7265625" style="9" customWidth="1"/>
    <col min="15105" max="15105" width="12" style="9" customWidth="1"/>
    <col min="15106" max="15109" width="9.1796875" style="9"/>
    <col min="15110" max="15111" width="10.7265625" style="9" customWidth="1"/>
    <col min="15112" max="15344" width="9.1796875" style="9"/>
    <col min="15345" max="15345" width="7.453125" style="9" customWidth="1"/>
    <col min="15346" max="15346" width="29.453125" style="9" customWidth="1"/>
    <col min="15347" max="15347" width="17.81640625" style="9" customWidth="1"/>
    <col min="15348" max="15348" width="16.7265625" style="9" customWidth="1"/>
    <col min="15349" max="15352" width="10.7265625" style="9" customWidth="1"/>
    <col min="15353" max="15353" width="12.7265625" style="9" customWidth="1"/>
    <col min="15354" max="15354" width="12.1796875" style="9" customWidth="1"/>
    <col min="15355" max="15356" width="10.7265625" style="9" customWidth="1"/>
    <col min="15357" max="15357" width="12.7265625" style="9" customWidth="1"/>
    <col min="15358" max="15358" width="10.7265625" style="9" customWidth="1"/>
    <col min="15359" max="15359" width="13.54296875" style="9" customWidth="1"/>
    <col min="15360" max="15360" width="10.7265625" style="9" customWidth="1"/>
    <col min="15361" max="15361" width="12" style="9" customWidth="1"/>
    <col min="15362" max="15365" width="9.1796875" style="9"/>
    <col min="15366" max="15367" width="10.7265625" style="9" customWidth="1"/>
    <col min="15368" max="15600" width="9.1796875" style="9"/>
    <col min="15601" max="15601" width="7.453125" style="9" customWidth="1"/>
    <col min="15602" max="15602" width="29.453125" style="9" customWidth="1"/>
    <col min="15603" max="15603" width="17.81640625" style="9" customWidth="1"/>
    <col min="15604" max="15604" width="16.7265625" style="9" customWidth="1"/>
    <col min="15605" max="15608" width="10.7265625" style="9" customWidth="1"/>
    <col min="15609" max="15609" width="12.7265625" style="9" customWidth="1"/>
    <col min="15610" max="15610" width="12.1796875" style="9" customWidth="1"/>
    <col min="15611" max="15612" width="10.7265625" style="9" customWidth="1"/>
    <col min="15613" max="15613" width="12.7265625" style="9" customWidth="1"/>
    <col min="15614" max="15614" width="10.7265625" style="9" customWidth="1"/>
    <col min="15615" max="15615" width="13.54296875" style="9" customWidth="1"/>
    <col min="15616" max="15616" width="10.7265625" style="9" customWidth="1"/>
    <col min="15617" max="15617" width="12" style="9" customWidth="1"/>
    <col min="15618" max="15621" width="9.1796875" style="9"/>
    <col min="15622" max="15623" width="10.7265625" style="9" customWidth="1"/>
    <col min="15624" max="15856" width="9.1796875" style="9"/>
    <col min="15857" max="15857" width="7.453125" style="9" customWidth="1"/>
    <col min="15858" max="15858" width="29.453125" style="9" customWidth="1"/>
    <col min="15859" max="15859" width="17.81640625" style="9" customWidth="1"/>
    <col min="15860" max="15860" width="16.7265625" style="9" customWidth="1"/>
    <col min="15861" max="15864" width="10.7265625" style="9" customWidth="1"/>
    <col min="15865" max="15865" width="12.7265625" style="9" customWidth="1"/>
    <col min="15866" max="15866" width="12.1796875" style="9" customWidth="1"/>
    <col min="15867" max="15868" width="10.7265625" style="9" customWidth="1"/>
    <col min="15869" max="15869" width="12.7265625" style="9" customWidth="1"/>
    <col min="15870" max="15870" width="10.7265625" style="9" customWidth="1"/>
    <col min="15871" max="15871" width="13.54296875" style="9" customWidth="1"/>
    <col min="15872" max="15872" width="10.7265625" style="9" customWidth="1"/>
    <col min="15873" max="15873" width="12" style="9" customWidth="1"/>
    <col min="15874" max="15877" width="9.1796875" style="9"/>
    <col min="15878" max="15879" width="10.7265625" style="9" customWidth="1"/>
    <col min="15880" max="16112" width="9.1796875" style="9"/>
    <col min="16113" max="16113" width="7.453125" style="9" customWidth="1"/>
    <col min="16114" max="16114" width="29.453125" style="9" customWidth="1"/>
    <col min="16115" max="16115" width="17.81640625" style="9" customWidth="1"/>
    <col min="16116" max="16116" width="16.7265625" style="9" customWidth="1"/>
    <col min="16117" max="16120" width="10.7265625" style="9" customWidth="1"/>
    <col min="16121" max="16121" width="12.7265625" style="9" customWidth="1"/>
    <col min="16122" max="16122" width="12.1796875" style="9" customWidth="1"/>
    <col min="16123" max="16124" width="10.7265625" style="9" customWidth="1"/>
    <col min="16125" max="16125" width="12.7265625" style="9" customWidth="1"/>
    <col min="16126" max="16126" width="10.7265625" style="9" customWidth="1"/>
    <col min="16127" max="16127" width="13.54296875" style="9" customWidth="1"/>
    <col min="16128" max="16128" width="10.7265625" style="9" customWidth="1"/>
    <col min="16129" max="16129" width="12" style="9" customWidth="1"/>
    <col min="16130" max="16133" width="9.1796875" style="9"/>
    <col min="16134" max="16135" width="10.7265625" style="9" customWidth="1"/>
    <col min="16136" max="16384" width="9.1796875" style="9"/>
  </cols>
  <sheetData>
    <row r="1" spans="1:15" ht="20.5" thickBot="1" x14ac:dyDescent="0.4">
      <c r="C1" s="3"/>
      <c r="D1" s="4">
        <v>45901</v>
      </c>
      <c r="E1" s="5"/>
      <c r="F1" s="6"/>
      <c r="G1" s="7"/>
      <c r="H1" s="7"/>
      <c r="I1" s="8"/>
      <c r="J1" s="8"/>
      <c r="K1" s="131"/>
      <c r="M1" s="237"/>
    </row>
    <row r="2" spans="1:15" s="18" customFormat="1" ht="25.5" customHeight="1" thickTop="1" thickBot="1" x14ac:dyDescent="0.4">
      <c r="A2" s="11"/>
      <c r="B2" s="12"/>
      <c r="C2" s="13" t="s">
        <v>0</v>
      </c>
      <c r="D2" s="14" t="s">
        <v>1</v>
      </c>
      <c r="E2" s="15" t="s">
        <v>2</v>
      </c>
      <c r="F2" s="14" t="s">
        <v>3</v>
      </c>
      <c r="G2" s="160" t="s">
        <v>256</v>
      </c>
      <c r="H2" s="160" t="s">
        <v>257</v>
      </c>
      <c r="I2" s="161" t="s">
        <v>258</v>
      </c>
      <c r="J2" s="240" t="s">
        <v>259</v>
      </c>
      <c r="K2" s="241" t="s">
        <v>260</v>
      </c>
      <c r="L2" s="254" t="s">
        <v>261</v>
      </c>
      <c r="M2" s="236" t="s">
        <v>514</v>
      </c>
      <c r="N2" s="203" t="s">
        <v>493</v>
      </c>
      <c r="O2" s="290"/>
    </row>
    <row r="3" spans="1:15" s="18" customFormat="1" ht="10" customHeight="1" thickTop="1" x14ac:dyDescent="0.35">
      <c r="A3" s="11"/>
      <c r="B3" s="235"/>
      <c r="C3" s="242"/>
      <c r="D3" s="243"/>
      <c r="E3" s="244"/>
      <c r="F3" s="243"/>
      <c r="G3" s="245"/>
      <c r="H3" s="245"/>
      <c r="I3" s="246"/>
      <c r="J3" s="247"/>
      <c r="K3" s="243"/>
      <c r="L3" s="255"/>
      <c r="M3" s="248">
        <v>21</v>
      </c>
      <c r="N3" s="249"/>
      <c r="O3" s="290"/>
    </row>
    <row r="4" spans="1:15" x14ac:dyDescent="0.35">
      <c r="A4" s="1">
        <v>1</v>
      </c>
      <c r="B4" s="26" t="s">
        <v>4</v>
      </c>
      <c r="C4" s="27" t="s">
        <v>5</v>
      </c>
      <c r="D4" s="28" t="s">
        <v>6</v>
      </c>
      <c r="E4" s="29">
        <v>9111045374085</v>
      </c>
      <c r="F4" s="30">
        <v>2323969</v>
      </c>
      <c r="G4" s="339">
        <v>45937</v>
      </c>
      <c r="H4" s="218">
        <v>45949</v>
      </c>
      <c r="I4" s="250">
        <f t="shared" ref="I4:I68" si="0">IF(AND(+G4&lt;&gt;"",+H4&lt;&gt;""),+H4-G4,"")</f>
        <v>12</v>
      </c>
      <c r="J4" s="229"/>
      <c r="K4" s="229"/>
      <c r="L4" s="256" t="str">
        <f>IF(AND(+J4&lt;&gt;"",+K4&lt;&gt;""),+K4-J4,"")</f>
        <v/>
      </c>
      <c r="M4" s="258"/>
      <c r="N4" s="204" t="s">
        <v>494</v>
      </c>
    </row>
    <row r="5" spans="1:15" ht="28" x14ac:dyDescent="0.35">
      <c r="A5" s="1">
        <v>2</v>
      </c>
      <c r="B5" s="35" t="s">
        <v>7</v>
      </c>
      <c r="C5" s="36" t="s">
        <v>8</v>
      </c>
      <c r="D5" s="37" t="s">
        <v>9</v>
      </c>
      <c r="E5" s="38">
        <v>7004026418082</v>
      </c>
      <c r="F5" s="39">
        <v>1066576</v>
      </c>
      <c r="G5" s="216">
        <v>45945</v>
      </c>
      <c r="H5" s="216">
        <v>45957</v>
      </c>
      <c r="I5" s="250">
        <f t="shared" si="0"/>
        <v>12</v>
      </c>
      <c r="J5" s="229"/>
      <c r="K5" s="229"/>
      <c r="L5" s="256" t="str">
        <f t="shared" ref="L5:L69" si="1">IF(AND(+J5&lt;&gt;"",+K5&lt;&gt;""),+K5-J5,"")</f>
        <v/>
      </c>
      <c r="M5" s="258"/>
      <c r="N5" s="205" t="s">
        <v>495</v>
      </c>
      <c r="O5" s="290" t="s">
        <v>580</v>
      </c>
    </row>
    <row r="6" spans="1:15" x14ac:dyDescent="0.35">
      <c r="A6" s="310">
        <v>3</v>
      </c>
      <c r="B6" s="35" t="s">
        <v>10</v>
      </c>
      <c r="C6" s="300" t="s">
        <v>11</v>
      </c>
      <c r="D6" s="301" t="s">
        <v>262</v>
      </c>
      <c r="E6" s="302">
        <v>7410185829086</v>
      </c>
      <c r="F6" s="303">
        <v>843459</v>
      </c>
      <c r="G6" s="216">
        <v>45925</v>
      </c>
      <c r="H6" s="216">
        <v>45937</v>
      </c>
      <c r="I6" s="250">
        <f t="shared" si="0"/>
        <v>12</v>
      </c>
      <c r="J6" s="229">
        <v>45938</v>
      </c>
      <c r="K6" s="229">
        <v>45947</v>
      </c>
      <c r="L6" s="256">
        <f t="shared" si="1"/>
        <v>9</v>
      </c>
      <c r="M6" s="258">
        <f>M3-L6</f>
        <v>12</v>
      </c>
      <c r="N6" s="205" t="s">
        <v>495</v>
      </c>
    </row>
    <row r="7" spans="1:15" hidden="1" x14ac:dyDescent="0.35">
      <c r="B7" s="35"/>
      <c r="C7" s="43">
        <v>5</v>
      </c>
      <c r="D7" s="44" t="s">
        <v>13</v>
      </c>
      <c r="E7" s="45">
        <v>6404046670087</v>
      </c>
      <c r="F7" s="46">
        <v>319084</v>
      </c>
      <c r="G7" s="219"/>
      <c r="H7" s="219"/>
      <c r="I7" s="250" t="str">
        <f t="shared" si="0"/>
        <v/>
      </c>
      <c r="J7" s="229"/>
      <c r="K7" s="230"/>
      <c r="L7" s="256" t="str">
        <f t="shared" si="1"/>
        <v/>
      </c>
      <c r="M7" s="258"/>
      <c r="N7" s="137" t="s">
        <v>283</v>
      </c>
    </row>
    <row r="8" spans="1:15" x14ac:dyDescent="0.35">
      <c r="A8" s="1">
        <v>4</v>
      </c>
      <c r="B8" s="35" t="s">
        <v>4</v>
      </c>
      <c r="C8" s="49" t="s">
        <v>14</v>
      </c>
      <c r="D8" s="50" t="s">
        <v>15</v>
      </c>
      <c r="E8" s="51">
        <v>6803185180081</v>
      </c>
      <c r="F8" s="52">
        <v>94105</v>
      </c>
      <c r="G8" s="220">
        <v>45883</v>
      </c>
      <c r="H8" s="220">
        <v>45895</v>
      </c>
      <c r="I8" s="250">
        <f t="shared" si="0"/>
        <v>12</v>
      </c>
      <c r="J8" s="229"/>
      <c r="K8" s="231"/>
      <c r="L8" s="256" t="str">
        <f t="shared" si="1"/>
        <v/>
      </c>
      <c r="M8" s="258"/>
      <c r="N8" s="206" t="s">
        <v>287</v>
      </c>
    </row>
    <row r="9" spans="1:15" ht="46.5" customHeight="1" x14ac:dyDescent="0.35">
      <c r="A9" s="310">
        <v>5</v>
      </c>
      <c r="B9" s="57" t="s">
        <v>16</v>
      </c>
      <c r="C9" s="300" t="s">
        <v>17</v>
      </c>
      <c r="D9" s="304" t="s">
        <v>18</v>
      </c>
      <c r="E9" s="302">
        <v>6703036653080</v>
      </c>
      <c r="F9" s="303">
        <v>190277</v>
      </c>
      <c r="G9" s="216">
        <v>45921</v>
      </c>
      <c r="H9" s="334">
        <v>45933</v>
      </c>
      <c r="I9" s="250">
        <f t="shared" si="0"/>
        <v>12</v>
      </c>
      <c r="J9" s="229"/>
      <c r="K9" s="229"/>
      <c r="L9" s="256" t="str">
        <f t="shared" si="1"/>
        <v/>
      </c>
      <c r="M9" s="258"/>
      <c r="N9" s="205" t="s">
        <v>494</v>
      </c>
    </row>
    <row r="10" spans="1:15" x14ac:dyDescent="0.35">
      <c r="A10" s="1">
        <v>6</v>
      </c>
      <c r="B10" s="35" t="s">
        <v>19</v>
      </c>
      <c r="C10" s="36" t="s">
        <v>20</v>
      </c>
      <c r="D10" s="58" t="s">
        <v>21</v>
      </c>
      <c r="E10" s="38">
        <v>8305075290085</v>
      </c>
      <c r="F10" s="39">
        <v>2573008</v>
      </c>
      <c r="G10" s="334">
        <v>45942</v>
      </c>
      <c r="H10" s="216">
        <v>45954</v>
      </c>
      <c r="I10" s="250">
        <f t="shared" si="0"/>
        <v>12</v>
      </c>
      <c r="J10" s="229"/>
      <c r="K10" s="229"/>
      <c r="L10" s="256" t="str">
        <f t="shared" si="1"/>
        <v/>
      </c>
      <c r="M10" s="258"/>
      <c r="N10" s="205" t="s">
        <v>495</v>
      </c>
    </row>
    <row r="11" spans="1:15" s="62" customFormat="1" hidden="1" x14ac:dyDescent="0.35">
      <c r="A11" s="1"/>
      <c r="B11" s="60"/>
      <c r="C11" s="43">
        <v>8</v>
      </c>
      <c r="D11" s="44" t="s">
        <v>22</v>
      </c>
      <c r="E11" s="45">
        <v>8212126921082</v>
      </c>
      <c r="F11" s="46">
        <v>2506665</v>
      </c>
      <c r="G11" s="219"/>
      <c r="H11" s="219"/>
      <c r="I11" s="250" t="str">
        <f t="shared" si="0"/>
        <v/>
      </c>
      <c r="J11" s="229"/>
      <c r="K11" s="230"/>
      <c r="L11" s="256" t="str">
        <f t="shared" si="1"/>
        <v/>
      </c>
      <c r="M11" s="258"/>
      <c r="N11" s="137" t="s">
        <v>292</v>
      </c>
      <c r="O11" s="291"/>
    </row>
    <row r="12" spans="1:15" x14ac:dyDescent="0.35">
      <c r="A12" s="1">
        <v>7</v>
      </c>
      <c r="B12" s="35" t="s">
        <v>23</v>
      </c>
      <c r="C12" s="36" t="s">
        <v>24</v>
      </c>
      <c r="D12" s="37" t="s">
        <v>25</v>
      </c>
      <c r="E12" s="38">
        <v>8404025648086</v>
      </c>
      <c r="F12" s="39">
        <v>1143870</v>
      </c>
      <c r="G12" s="216">
        <v>45899</v>
      </c>
      <c r="H12" s="216">
        <v>45911</v>
      </c>
      <c r="I12" s="250">
        <f t="shared" si="0"/>
        <v>12</v>
      </c>
      <c r="J12" s="229">
        <v>45912</v>
      </c>
      <c r="K12" s="229">
        <v>45918</v>
      </c>
      <c r="L12" s="256">
        <f t="shared" si="1"/>
        <v>6</v>
      </c>
      <c r="M12" s="258">
        <f>M3-L12</f>
        <v>15</v>
      </c>
      <c r="N12" s="205" t="s">
        <v>496</v>
      </c>
    </row>
    <row r="13" spans="1:15" x14ac:dyDescent="0.35">
      <c r="A13" s="1">
        <v>8</v>
      </c>
      <c r="B13" s="35" t="s">
        <v>10</v>
      </c>
      <c r="C13" s="36" t="s">
        <v>26</v>
      </c>
      <c r="D13" s="37" t="s">
        <v>27</v>
      </c>
      <c r="E13" s="38">
        <v>6506285751087</v>
      </c>
      <c r="F13" s="39">
        <v>900086</v>
      </c>
      <c r="G13" s="216">
        <v>45959</v>
      </c>
      <c r="H13" s="216">
        <v>45971</v>
      </c>
      <c r="I13" s="250">
        <f t="shared" si="0"/>
        <v>12</v>
      </c>
      <c r="J13" s="229"/>
      <c r="K13" s="229"/>
      <c r="L13" s="256" t="str">
        <f t="shared" si="1"/>
        <v/>
      </c>
      <c r="M13" s="258"/>
      <c r="N13" s="205" t="s">
        <v>497</v>
      </c>
    </row>
    <row r="14" spans="1:15" hidden="1" x14ac:dyDescent="0.35">
      <c r="B14" s="35"/>
      <c r="C14" s="43">
        <v>11</v>
      </c>
      <c r="D14" s="44" t="s">
        <v>28</v>
      </c>
      <c r="E14" s="45">
        <v>6502026541085</v>
      </c>
      <c r="F14" s="46">
        <v>319086</v>
      </c>
      <c r="G14" s="219"/>
      <c r="H14" s="219"/>
      <c r="I14" s="250" t="str">
        <f t="shared" si="0"/>
        <v/>
      </c>
      <c r="J14" s="229"/>
      <c r="K14" s="230"/>
      <c r="L14" s="256" t="str">
        <f t="shared" si="1"/>
        <v/>
      </c>
      <c r="M14" s="258"/>
      <c r="N14" s="137" t="s">
        <v>300</v>
      </c>
    </row>
    <row r="15" spans="1:15" x14ac:dyDescent="0.35">
      <c r="A15" s="1">
        <v>9</v>
      </c>
      <c r="B15" s="35" t="s">
        <v>29</v>
      </c>
      <c r="C15" s="36" t="s">
        <v>30</v>
      </c>
      <c r="D15" s="37" t="s">
        <v>31</v>
      </c>
      <c r="E15" s="38">
        <v>8810245844083</v>
      </c>
      <c r="F15" s="39">
        <v>1564162</v>
      </c>
      <c r="G15" s="216">
        <v>45945</v>
      </c>
      <c r="H15" s="216">
        <v>45957</v>
      </c>
      <c r="I15" s="250">
        <f t="shared" si="0"/>
        <v>12</v>
      </c>
      <c r="J15" s="229">
        <v>45958</v>
      </c>
      <c r="K15" s="229">
        <v>45968</v>
      </c>
      <c r="L15" s="256">
        <f t="shared" si="1"/>
        <v>10</v>
      </c>
      <c r="M15" s="258">
        <f>M3-L15</f>
        <v>11</v>
      </c>
      <c r="N15" s="205" t="s">
        <v>498</v>
      </c>
    </row>
    <row r="16" spans="1:15" hidden="1" x14ac:dyDescent="0.35">
      <c r="B16" s="35"/>
      <c r="C16" s="36">
        <v>14</v>
      </c>
      <c r="D16" s="44" t="s">
        <v>32</v>
      </c>
      <c r="E16" s="45">
        <v>6501275065085</v>
      </c>
      <c r="F16" s="46">
        <v>2732240</v>
      </c>
      <c r="G16" s="219"/>
      <c r="H16" s="219"/>
      <c r="I16" s="250" t="str">
        <f t="shared" si="0"/>
        <v/>
      </c>
      <c r="J16" s="229"/>
      <c r="K16" s="230"/>
      <c r="L16" s="256" t="str">
        <f t="shared" si="1"/>
        <v/>
      </c>
      <c r="M16" s="258"/>
      <c r="N16" s="137" t="s">
        <v>305</v>
      </c>
    </row>
    <row r="17" spans="1:15" x14ac:dyDescent="0.35">
      <c r="A17" s="1">
        <v>10</v>
      </c>
      <c r="B17" s="35" t="s">
        <v>33</v>
      </c>
      <c r="C17" s="328" t="s">
        <v>34</v>
      </c>
      <c r="D17" s="326" t="s">
        <v>35</v>
      </c>
      <c r="E17" s="327">
        <v>9008055211084</v>
      </c>
      <c r="F17" s="329">
        <v>2003164</v>
      </c>
      <c r="G17" s="220">
        <v>45922</v>
      </c>
      <c r="H17" s="335">
        <v>45934</v>
      </c>
      <c r="I17" s="250">
        <f t="shared" si="0"/>
        <v>12</v>
      </c>
      <c r="J17" s="229"/>
      <c r="K17" s="231"/>
      <c r="L17" s="256" t="str">
        <f t="shared" si="1"/>
        <v/>
      </c>
      <c r="M17" s="258"/>
      <c r="N17" s="206" t="s">
        <v>309</v>
      </c>
    </row>
    <row r="18" spans="1:15" x14ac:dyDescent="0.35">
      <c r="A18" s="1">
        <v>11</v>
      </c>
      <c r="B18" s="35" t="s">
        <v>10</v>
      </c>
      <c r="C18" s="36" t="s">
        <v>36</v>
      </c>
      <c r="D18" s="37" t="s">
        <v>37</v>
      </c>
      <c r="E18" s="38">
        <v>6504106181089</v>
      </c>
      <c r="F18" s="39">
        <v>2071594</v>
      </c>
      <c r="G18" s="216">
        <v>45937</v>
      </c>
      <c r="H18" s="216">
        <v>45949</v>
      </c>
      <c r="I18" s="250">
        <f t="shared" si="0"/>
        <v>12</v>
      </c>
      <c r="J18" s="229"/>
      <c r="K18" s="229"/>
      <c r="L18" s="256" t="str">
        <f t="shared" si="1"/>
        <v/>
      </c>
      <c r="M18" s="258"/>
      <c r="N18" s="205" t="s">
        <v>499</v>
      </c>
    </row>
    <row r="19" spans="1:15" hidden="1" x14ac:dyDescent="0.35">
      <c r="B19" s="35"/>
      <c r="C19" s="64">
        <v>17</v>
      </c>
      <c r="D19" s="37" t="s">
        <v>38</v>
      </c>
      <c r="E19" s="45">
        <v>5803205926084</v>
      </c>
      <c r="F19" s="46">
        <v>190351</v>
      </c>
      <c r="G19" s="219"/>
      <c r="H19" s="219"/>
      <c r="I19" s="250" t="str">
        <f t="shared" si="0"/>
        <v/>
      </c>
      <c r="J19" s="229"/>
      <c r="K19" s="230"/>
      <c r="L19" s="256" t="str">
        <f t="shared" si="1"/>
        <v/>
      </c>
      <c r="M19" s="258"/>
      <c r="N19" s="137" t="s">
        <v>313</v>
      </c>
    </row>
    <row r="20" spans="1:15" x14ac:dyDescent="0.35">
      <c r="B20" s="35" t="s">
        <v>39</v>
      </c>
      <c r="C20" s="36" t="s">
        <v>40</v>
      </c>
      <c r="D20" s="37" t="s">
        <v>41</v>
      </c>
      <c r="E20" s="38">
        <v>5109165642087</v>
      </c>
      <c r="F20" s="39">
        <v>179013</v>
      </c>
      <c r="G20" s="216" t="s">
        <v>581</v>
      </c>
      <c r="H20" s="216"/>
      <c r="I20" s="250" t="str">
        <f t="shared" si="0"/>
        <v/>
      </c>
      <c r="J20" s="229"/>
      <c r="K20" s="229"/>
      <c r="L20" s="256" t="str">
        <f t="shared" si="1"/>
        <v/>
      </c>
      <c r="M20" s="258"/>
      <c r="N20" s="205" t="s">
        <v>500</v>
      </c>
    </row>
    <row r="21" spans="1:15" x14ac:dyDescent="0.35">
      <c r="A21" s="310">
        <v>12</v>
      </c>
      <c r="B21" s="35" t="s">
        <v>42</v>
      </c>
      <c r="C21" s="300" t="s">
        <v>43</v>
      </c>
      <c r="D21" s="304" t="s">
        <v>44</v>
      </c>
      <c r="E21" s="302">
        <v>8904115462082</v>
      </c>
      <c r="F21" s="303">
        <v>1707175</v>
      </c>
      <c r="G21" s="216">
        <v>45930</v>
      </c>
      <c r="H21" s="216">
        <v>45942</v>
      </c>
      <c r="I21" s="250">
        <f t="shared" si="0"/>
        <v>12</v>
      </c>
      <c r="J21" s="229"/>
      <c r="K21" s="229"/>
      <c r="L21" s="256" t="str">
        <f t="shared" si="1"/>
        <v/>
      </c>
      <c r="M21" s="258"/>
      <c r="N21" s="205" t="s">
        <v>501</v>
      </c>
    </row>
    <row r="22" spans="1:15" ht="28" x14ac:dyDescent="0.35">
      <c r="A22" s="1">
        <v>13</v>
      </c>
      <c r="B22" s="35" t="s">
        <v>45</v>
      </c>
      <c r="C22" s="36" t="s">
        <v>46</v>
      </c>
      <c r="D22" s="37" t="s">
        <v>47</v>
      </c>
      <c r="E22" s="38">
        <v>8607215562087</v>
      </c>
      <c r="F22" s="39">
        <v>1286457</v>
      </c>
      <c r="G22" s="216">
        <v>45878</v>
      </c>
      <c r="H22" s="216">
        <v>45890</v>
      </c>
      <c r="I22" s="250">
        <f t="shared" si="0"/>
        <v>12</v>
      </c>
      <c r="J22" s="229"/>
      <c r="K22" s="229"/>
      <c r="L22" s="256" t="str">
        <f t="shared" si="1"/>
        <v/>
      </c>
      <c r="M22" s="258"/>
      <c r="N22" s="205" t="s">
        <v>502</v>
      </c>
      <c r="O22" s="290" t="s">
        <v>574</v>
      </c>
    </row>
    <row r="23" spans="1:15" ht="26" x14ac:dyDescent="0.35">
      <c r="A23" s="1">
        <v>14</v>
      </c>
      <c r="B23" s="35" t="s">
        <v>23</v>
      </c>
      <c r="C23" s="36" t="s">
        <v>48</v>
      </c>
      <c r="D23" s="37" t="s">
        <v>49</v>
      </c>
      <c r="E23" s="38">
        <v>7705106471086</v>
      </c>
      <c r="F23" s="39">
        <v>1419418</v>
      </c>
      <c r="G23" s="216">
        <v>45921</v>
      </c>
      <c r="H23" s="334">
        <v>45933</v>
      </c>
      <c r="I23" s="250">
        <f t="shared" si="0"/>
        <v>12</v>
      </c>
      <c r="J23" s="229"/>
      <c r="K23" s="229"/>
      <c r="L23" s="256" t="str">
        <f t="shared" si="1"/>
        <v/>
      </c>
      <c r="M23" s="258"/>
      <c r="N23" s="205" t="s">
        <v>503</v>
      </c>
    </row>
    <row r="24" spans="1:15" x14ac:dyDescent="0.35">
      <c r="A24" s="1">
        <v>15</v>
      </c>
      <c r="B24" s="35" t="s">
        <v>50</v>
      </c>
      <c r="C24" s="311" t="s">
        <v>51</v>
      </c>
      <c r="D24" s="312" t="s">
        <v>52</v>
      </c>
      <c r="E24" s="313">
        <v>8302256189087</v>
      </c>
      <c r="F24" s="314">
        <v>1908399</v>
      </c>
      <c r="G24" s="216">
        <v>45901</v>
      </c>
      <c r="H24" s="216">
        <v>45913</v>
      </c>
      <c r="I24" s="250">
        <f t="shared" si="0"/>
        <v>12</v>
      </c>
      <c r="J24" s="229">
        <v>45989</v>
      </c>
      <c r="K24" s="229">
        <v>46002</v>
      </c>
      <c r="L24" s="256">
        <f t="shared" si="1"/>
        <v>13</v>
      </c>
      <c r="M24" s="258"/>
      <c r="N24" s="205" t="s">
        <v>504</v>
      </c>
    </row>
    <row r="25" spans="1:15" x14ac:dyDescent="0.35">
      <c r="A25" s="310">
        <v>16</v>
      </c>
      <c r="B25" s="35" t="s">
        <v>39</v>
      </c>
      <c r="C25" s="300" t="s">
        <v>53</v>
      </c>
      <c r="D25" s="304" t="s">
        <v>54</v>
      </c>
      <c r="E25" s="302">
        <v>6612245953084</v>
      </c>
      <c r="F25" s="303">
        <v>1032773</v>
      </c>
      <c r="G25" s="216">
        <v>45927</v>
      </c>
      <c r="H25" s="216">
        <v>45945</v>
      </c>
      <c r="I25" s="250">
        <f t="shared" si="0"/>
        <v>18</v>
      </c>
      <c r="J25" s="229"/>
      <c r="K25" s="229"/>
      <c r="L25" s="256" t="str">
        <f t="shared" si="1"/>
        <v/>
      </c>
      <c r="M25" s="258"/>
      <c r="N25" s="205" t="s">
        <v>505</v>
      </c>
    </row>
    <row r="26" spans="1:15" hidden="1" x14ac:dyDescent="0.35">
      <c r="B26" s="35"/>
      <c r="C26" s="43">
        <v>26</v>
      </c>
      <c r="D26" s="44" t="s">
        <v>55</v>
      </c>
      <c r="E26" s="45">
        <v>8611295233080</v>
      </c>
      <c r="F26" s="46">
        <v>1599503</v>
      </c>
      <c r="G26" s="219"/>
      <c r="H26" s="219"/>
      <c r="I26" s="250" t="str">
        <f t="shared" si="0"/>
        <v/>
      </c>
      <c r="J26" s="229"/>
      <c r="K26" s="230"/>
      <c r="L26" s="256" t="str">
        <f t="shared" si="1"/>
        <v/>
      </c>
      <c r="M26" s="258"/>
      <c r="N26" s="137" t="s">
        <v>333</v>
      </c>
    </row>
    <row r="27" spans="1:15" x14ac:dyDescent="0.35">
      <c r="A27" s="1">
        <v>17</v>
      </c>
      <c r="B27" s="35" t="s">
        <v>56</v>
      </c>
      <c r="C27" s="36" t="s">
        <v>57</v>
      </c>
      <c r="D27" s="58" t="s">
        <v>584</v>
      </c>
      <c r="E27" s="38">
        <v>8004286093087</v>
      </c>
      <c r="F27" s="39">
        <v>2685496</v>
      </c>
      <c r="G27" s="334">
        <v>45934</v>
      </c>
      <c r="H27" s="216">
        <v>45946</v>
      </c>
      <c r="I27" s="250">
        <f t="shared" si="0"/>
        <v>12</v>
      </c>
      <c r="J27" s="229"/>
      <c r="K27" s="229"/>
      <c r="L27" s="256" t="str">
        <f t="shared" si="1"/>
        <v/>
      </c>
      <c r="M27" s="258"/>
      <c r="N27" s="205" t="s">
        <v>506</v>
      </c>
    </row>
    <row r="28" spans="1:15" x14ac:dyDescent="0.35">
      <c r="A28" s="1">
        <v>18</v>
      </c>
      <c r="B28" s="35" t="s">
        <v>59</v>
      </c>
      <c r="C28" s="296" t="s">
        <v>60</v>
      </c>
      <c r="D28" s="147" t="s">
        <v>588</v>
      </c>
      <c r="E28" s="297">
        <v>7209085678084</v>
      </c>
      <c r="F28" s="298">
        <v>379389</v>
      </c>
      <c r="G28" s="340">
        <v>45936</v>
      </c>
      <c r="H28" s="294">
        <v>45954</v>
      </c>
      <c r="I28" s="295">
        <f t="shared" si="0"/>
        <v>18</v>
      </c>
      <c r="J28" s="229"/>
      <c r="K28" s="229"/>
      <c r="L28" s="256" t="str">
        <f t="shared" si="1"/>
        <v/>
      </c>
      <c r="M28" s="258"/>
      <c r="N28" s="205" t="s">
        <v>506</v>
      </c>
    </row>
    <row r="29" spans="1:15" hidden="1" x14ac:dyDescent="0.35">
      <c r="B29" s="35"/>
      <c r="C29" s="36">
        <v>30</v>
      </c>
      <c r="D29" s="44" t="s">
        <v>62</v>
      </c>
      <c r="E29" s="45" t="s">
        <v>63</v>
      </c>
      <c r="F29" s="44">
        <v>3160080</v>
      </c>
      <c r="G29" s="219"/>
      <c r="H29" s="219"/>
      <c r="I29" s="250" t="str">
        <f t="shared" si="0"/>
        <v/>
      </c>
      <c r="J29" s="229"/>
      <c r="K29" s="230"/>
      <c r="L29" s="256" t="str">
        <f t="shared" si="1"/>
        <v/>
      </c>
      <c r="M29" s="258"/>
      <c r="N29" s="137" t="s">
        <v>340</v>
      </c>
    </row>
    <row r="30" spans="1:15" hidden="1" x14ac:dyDescent="0.35">
      <c r="B30" s="35"/>
      <c r="C30" s="64">
        <v>32</v>
      </c>
      <c r="D30" s="37" t="s">
        <v>64</v>
      </c>
      <c r="E30" s="45">
        <v>8910245392081</v>
      </c>
      <c r="F30" s="46">
        <v>1743327</v>
      </c>
      <c r="G30" s="219"/>
      <c r="H30" s="219"/>
      <c r="I30" s="250" t="str">
        <f t="shared" si="0"/>
        <v/>
      </c>
      <c r="J30" s="229"/>
      <c r="K30" s="239"/>
      <c r="L30" s="256" t="str">
        <f t="shared" si="1"/>
        <v/>
      </c>
      <c r="M30" s="258"/>
      <c r="N30" s="207" t="s">
        <v>507</v>
      </c>
    </row>
    <row r="31" spans="1:15" s="74" customFormat="1" x14ac:dyDescent="0.35">
      <c r="A31" s="1">
        <v>19</v>
      </c>
      <c r="B31" s="67" t="s">
        <v>10</v>
      </c>
      <c r="C31" s="315" t="s">
        <v>65</v>
      </c>
      <c r="D31" s="316" t="s">
        <v>66</v>
      </c>
      <c r="E31" s="317">
        <v>6212315812086</v>
      </c>
      <c r="F31" s="318">
        <v>280359</v>
      </c>
      <c r="G31" s="221">
        <v>45892</v>
      </c>
      <c r="H31" s="221">
        <v>45904</v>
      </c>
      <c r="I31" s="250">
        <f t="shared" si="0"/>
        <v>12</v>
      </c>
      <c r="J31" s="229">
        <v>45905</v>
      </c>
      <c r="K31" s="232">
        <v>45906</v>
      </c>
      <c r="L31" s="256">
        <f t="shared" si="1"/>
        <v>1</v>
      </c>
      <c r="M31" s="258">
        <f>M3-L31</f>
        <v>20</v>
      </c>
      <c r="N31" s="208" t="s">
        <v>346</v>
      </c>
      <c r="O31" s="292"/>
    </row>
    <row r="32" spans="1:15" x14ac:dyDescent="0.35">
      <c r="A32" s="1">
        <v>20</v>
      </c>
      <c r="B32" s="35" t="s">
        <v>56</v>
      </c>
      <c r="C32" s="311" t="s">
        <v>67</v>
      </c>
      <c r="D32" s="312" t="s">
        <v>578</v>
      </c>
      <c r="E32" s="313">
        <v>8412165273086</v>
      </c>
      <c r="F32" s="314">
        <v>2840362</v>
      </c>
      <c r="G32" s="216">
        <v>45901</v>
      </c>
      <c r="H32" s="216">
        <v>45913</v>
      </c>
      <c r="I32" s="250">
        <f t="shared" si="0"/>
        <v>12</v>
      </c>
      <c r="J32" s="229">
        <v>45914</v>
      </c>
      <c r="K32" s="336">
        <v>45933</v>
      </c>
      <c r="L32" s="256">
        <f t="shared" si="1"/>
        <v>19</v>
      </c>
      <c r="M32" s="258">
        <f>M3-L32</f>
        <v>2</v>
      </c>
      <c r="N32" s="205" t="s">
        <v>508</v>
      </c>
    </row>
    <row r="33" spans="1:15" x14ac:dyDescent="0.35">
      <c r="A33" s="1">
        <v>21</v>
      </c>
      <c r="B33" s="35" t="s">
        <v>16</v>
      </c>
      <c r="C33" s="36" t="s">
        <v>69</v>
      </c>
      <c r="D33" s="37" t="s">
        <v>70</v>
      </c>
      <c r="E33" s="38">
        <v>9304125150083</v>
      </c>
      <c r="F33" s="39">
        <v>2112869</v>
      </c>
      <c r="G33" s="216"/>
      <c r="H33" s="299">
        <v>45909</v>
      </c>
      <c r="I33" s="250" t="str">
        <f t="shared" si="0"/>
        <v/>
      </c>
      <c r="J33" s="229"/>
      <c r="K33" s="229"/>
      <c r="L33" s="256" t="str">
        <f t="shared" si="1"/>
        <v/>
      </c>
      <c r="M33" s="258"/>
      <c r="N33" s="205" t="s">
        <v>509</v>
      </c>
      <c r="O33" s="290" t="s">
        <v>585</v>
      </c>
    </row>
    <row r="34" spans="1:15" s="74" customFormat="1" hidden="1" x14ac:dyDescent="0.35">
      <c r="A34" s="1"/>
      <c r="B34" s="67"/>
      <c r="C34" s="68">
        <v>36</v>
      </c>
      <c r="D34" s="69" t="s">
        <v>71</v>
      </c>
      <c r="E34" s="70">
        <v>7612166366083</v>
      </c>
      <c r="F34" s="71">
        <v>1992221</v>
      </c>
      <c r="G34" s="221"/>
      <c r="H34" s="221"/>
      <c r="I34" s="250" t="str">
        <f t="shared" si="0"/>
        <v/>
      </c>
      <c r="J34" s="229"/>
      <c r="K34" s="232"/>
      <c r="L34" s="256" t="str">
        <f t="shared" si="1"/>
        <v/>
      </c>
      <c r="M34" s="258"/>
      <c r="N34" s="208" t="s">
        <v>353</v>
      </c>
      <c r="O34" s="292"/>
    </row>
    <row r="35" spans="1:15" s="74" customFormat="1" hidden="1" x14ac:dyDescent="0.35">
      <c r="A35" s="1"/>
      <c r="B35" s="67"/>
      <c r="C35" s="68">
        <v>37</v>
      </c>
      <c r="D35" s="69" t="s">
        <v>72</v>
      </c>
      <c r="E35" s="70">
        <v>9008166285084</v>
      </c>
      <c r="F35" s="71">
        <v>2199718</v>
      </c>
      <c r="G35" s="221"/>
      <c r="H35" s="221"/>
      <c r="I35" s="250" t="str">
        <f t="shared" si="0"/>
        <v/>
      </c>
      <c r="J35" s="229"/>
      <c r="K35" s="232"/>
      <c r="L35" s="256" t="str">
        <f t="shared" si="1"/>
        <v/>
      </c>
      <c r="M35" s="258"/>
      <c r="N35" s="208" t="s">
        <v>355</v>
      </c>
      <c r="O35" s="292"/>
    </row>
    <row r="36" spans="1:15" ht="28" x14ac:dyDescent="0.35">
      <c r="A36" s="310">
        <v>22</v>
      </c>
      <c r="B36" s="35" t="s">
        <v>73</v>
      </c>
      <c r="C36" s="300" t="s">
        <v>74</v>
      </c>
      <c r="D36" s="304" t="s">
        <v>75</v>
      </c>
      <c r="E36" s="302">
        <v>9006215424084</v>
      </c>
      <c r="F36" s="303">
        <v>2655682</v>
      </c>
      <c r="G36" s="216">
        <v>45921</v>
      </c>
      <c r="H36" s="216">
        <v>45933</v>
      </c>
      <c r="I36" s="250">
        <f t="shared" si="0"/>
        <v>12</v>
      </c>
      <c r="J36" s="229">
        <v>45934</v>
      </c>
      <c r="K36" s="229">
        <v>45944</v>
      </c>
      <c r="L36" s="256">
        <f t="shared" si="1"/>
        <v>10</v>
      </c>
      <c r="M36" s="258">
        <f>M3-L36</f>
        <v>11</v>
      </c>
      <c r="N36" s="205" t="s">
        <v>510</v>
      </c>
      <c r="O36" s="290" t="s">
        <v>591</v>
      </c>
    </row>
    <row r="37" spans="1:15" hidden="1" x14ac:dyDescent="0.35">
      <c r="B37" s="35"/>
      <c r="C37" s="43">
        <v>47</v>
      </c>
      <c r="D37" s="44" t="s">
        <v>76</v>
      </c>
      <c r="E37" s="45">
        <v>6111075751080</v>
      </c>
      <c r="F37" s="44">
        <v>749669</v>
      </c>
      <c r="G37" s="219"/>
      <c r="H37" s="222"/>
      <c r="I37" s="250" t="str">
        <f t="shared" si="0"/>
        <v/>
      </c>
      <c r="J37" s="229"/>
      <c r="K37" s="230"/>
      <c r="L37" s="256" t="str">
        <f t="shared" si="1"/>
        <v/>
      </c>
      <c r="M37" s="258"/>
      <c r="N37" s="137" t="s">
        <v>360</v>
      </c>
    </row>
    <row r="38" spans="1:15" hidden="1" x14ac:dyDescent="0.35">
      <c r="B38" s="35"/>
      <c r="C38" s="43">
        <v>48</v>
      </c>
      <c r="D38" s="44" t="s">
        <v>77</v>
      </c>
      <c r="E38" s="45">
        <v>6509115765087</v>
      </c>
      <c r="F38" s="44">
        <v>167280</v>
      </c>
      <c r="G38" s="219"/>
      <c r="H38" s="222"/>
      <c r="I38" s="250" t="str">
        <f t="shared" si="0"/>
        <v/>
      </c>
      <c r="J38" s="229"/>
      <c r="K38" s="230"/>
      <c r="L38" s="256" t="str">
        <f t="shared" si="1"/>
        <v/>
      </c>
      <c r="M38" s="258"/>
      <c r="N38" s="137" t="s">
        <v>362</v>
      </c>
    </row>
    <row r="39" spans="1:15" hidden="1" x14ac:dyDescent="0.35">
      <c r="B39" s="35"/>
      <c r="C39" s="43">
        <v>49</v>
      </c>
      <c r="D39" s="44" t="s">
        <v>78</v>
      </c>
      <c r="E39" s="45">
        <v>7906146195087</v>
      </c>
      <c r="F39" s="44">
        <v>1808673</v>
      </c>
      <c r="G39" s="223"/>
      <c r="H39" s="224"/>
      <c r="I39" s="250" t="str">
        <f t="shared" si="0"/>
        <v/>
      </c>
      <c r="J39" s="229"/>
      <c r="K39" s="230"/>
      <c r="L39" s="256" t="str">
        <f t="shared" si="1"/>
        <v/>
      </c>
      <c r="M39" s="258"/>
      <c r="N39" s="137" t="s">
        <v>364</v>
      </c>
    </row>
    <row r="40" spans="1:15" ht="22.5" customHeight="1" x14ac:dyDescent="0.35">
      <c r="A40" s="1">
        <v>23</v>
      </c>
      <c r="B40" s="35" t="s">
        <v>79</v>
      </c>
      <c r="C40" s="36" t="s">
        <v>80</v>
      </c>
      <c r="D40" s="37" t="s">
        <v>81</v>
      </c>
      <c r="E40" s="38">
        <v>8408126348082</v>
      </c>
      <c r="F40" s="39">
        <v>2038494</v>
      </c>
      <c r="G40" s="216"/>
      <c r="H40" s="216"/>
      <c r="I40" s="250" t="str">
        <f t="shared" si="0"/>
        <v/>
      </c>
      <c r="J40" s="229"/>
      <c r="K40" s="229"/>
      <c r="L40" s="256" t="str">
        <f t="shared" si="1"/>
        <v/>
      </c>
      <c r="M40" s="258"/>
      <c r="N40" s="209" t="s">
        <v>511</v>
      </c>
    </row>
    <row r="41" spans="1:15" ht="14.15" customHeight="1" x14ac:dyDescent="0.35">
      <c r="A41" s="1">
        <v>24</v>
      </c>
      <c r="B41" s="35" t="s">
        <v>42</v>
      </c>
      <c r="C41" s="36" t="s">
        <v>82</v>
      </c>
      <c r="D41" s="37" t="s">
        <v>83</v>
      </c>
      <c r="E41" s="38">
        <v>8012186091085</v>
      </c>
      <c r="F41" s="37">
        <v>2424501</v>
      </c>
      <c r="G41" s="216">
        <v>45944</v>
      </c>
      <c r="H41" s="216">
        <v>45956</v>
      </c>
      <c r="I41" s="250">
        <f t="shared" si="0"/>
        <v>12</v>
      </c>
      <c r="J41" s="229">
        <v>45957</v>
      </c>
      <c r="K41" s="229">
        <v>45968</v>
      </c>
      <c r="L41" s="256">
        <f t="shared" si="1"/>
        <v>11</v>
      </c>
      <c r="M41" s="258">
        <v>0</v>
      </c>
      <c r="N41" s="209" t="s">
        <v>512</v>
      </c>
      <c r="O41" s="290" t="s">
        <v>575</v>
      </c>
    </row>
    <row r="42" spans="1:15" hidden="1" x14ac:dyDescent="0.35">
      <c r="B42" s="35"/>
      <c r="C42" s="59">
        <v>51</v>
      </c>
      <c r="D42" s="44" t="s">
        <v>84</v>
      </c>
      <c r="E42" s="45" t="s">
        <v>85</v>
      </c>
      <c r="F42" s="44">
        <v>1785160</v>
      </c>
      <c r="G42" s="219"/>
      <c r="H42" s="222"/>
      <c r="I42" s="250" t="str">
        <f t="shared" si="0"/>
        <v/>
      </c>
      <c r="J42" s="229"/>
      <c r="K42" s="230"/>
      <c r="L42" s="256" t="str">
        <f t="shared" si="1"/>
        <v/>
      </c>
      <c r="M42" s="258"/>
      <c r="N42" s="137" t="s">
        <v>372</v>
      </c>
    </row>
    <row r="43" spans="1:15" hidden="1" x14ac:dyDescent="0.35">
      <c r="B43" s="35"/>
      <c r="C43" s="59">
        <v>52</v>
      </c>
      <c r="D43" s="44" t="s">
        <v>86</v>
      </c>
      <c r="E43" s="45" t="s">
        <v>87</v>
      </c>
      <c r="F43" s="44">
        <v>1322412</v>
      </c>
      <c r="G43" s="219"/>
      <c r="H43" s="222"/>
      <c r="I43" s="250" t="str">
        <f t="shared" si="0"/>
        <v/>
      </c>
      <c r="J43" s="229"/>
      <c r="K43" s="230"/>
      <c r="L43" s="256" t="str">
        <f t="shared" si="1"/>
        <v/>
      </c>
      <c r="M43" s="258"/>
      <c r="N43" s="137" t="s">
        <v>374</v>
      </c>
    </row>
    <row r="44" spans="1:15" x14ac:dyDescent="0.35">
      <c r="A44" s="1">
        <v>25</v>
      </c>
      <c r="B44" s="35" t="s">
        <v>59</v>
      </c>
      <c r="C44" s="66" t="s">
        <v>88</v>
      </c>
      <c r="D44" s="69" t="s">
        <v>89</v>
      </c>
      <c r="E44" s="70" t="s">
        <v>90</v>
      </c>
      <c r="F44" s="69">
        <v>1963620</v>
      </c>
      <c r="G44" s="337">
        <v>45931</v>
      </c>
      <c r="H44" s="225">
        <v>45943</v>
      </c>
      <c r="I44" s="250">
        <f t="shared" si="0"/>
        <v>12</v>
      </c>
      <c r="J44" s="229"/>
      <c r="K44" s="232"/>
      <c r="L44" s="256" t="str">
        <f t="shared" si="1"/>
        <v/>
      </c>
      <c r="M44" s="258"/>
      <c r="N44" s="208" t="s">
        <v>377</v>
      </c>
    </row>
    <row r="45" spans="1:15" x14ac:dyDescent="0.35">
      <c r="A45" s="1">
        <v>26</v>
      </c>
      <c r="B45" s="35" t="s">
        <v>91</v>
      </c>
      <c r="C45" s="88" t="s">
        <v>92</v>
      </c>
      <c r="D45" s="89" t="s">
        <v>93</v>
      </c>
      <c r="E45" s="38" t="s">
        <v>94</v>
      </c>
      <c r="F45" s="38">
        <v>1862916</v>
      </c>
      <c r="G45" s="216">
        <v>45897</v>
      </c>
      <c r="H45" s="216">
        <v>45921</v>
      </c>
      <c r="I45" s="250">
        <f t="shared" si="0"/>
        <v>24</v>
      </c>
      <c r="J45" s="229">
        <v>45922</v>
      </c>
      <c r="K45" s="229">
        <v>45943</v>
      </c>
      <c r="L45" s="256">
        <f t="shared" si="1"/>
        <v>21</v>
      </c>
      <c r="M45" s="258">
        <f>M3-L45</f>
        <v>0</v>
      </c>
      <c r="N45" s="209" t="s">
        <v>380</v>
      </c>
      <c r="O45" s="290" t="s">
        <v>573</v>
      </c>
    </row>
    <row r="46" spans="1:15" ht="26.25" hidden="1" customHeight="1" x14ac:dyDescent="0.35">
      <c r="B46" s="35"/>
      <c r="C46" s="92">
        <v>54</v>
      </c>
      <c r="D46" s="93" t="s">
        <v>95</v>
      </c>
      <c r="E46" s="45" t="s">
        <v>96</v>
      </c>
      <c r="F46" s="45">
        <v>2700403</v>
      </c>
      <c r="G46" s="226"/>
      <c r="H46" s="219"/>
      <c r="I46" s="250" t="str">
        <f t="shared" si="0"/>
        <v/>
      </c>
      <c r="J46" s="229"/>
      <c r="K46" s="230"/>
      <c r="L46" s="256" t="str">
        <f t="shared" si="1"/>
        <v/>
      </c>
      <c r="M46" s="258"/>
      <c r="N46" s="146" t="s">
        <v>382</v>
      </c>
    </row>
    <row r="47" spans="1:15" hidden="1" x14ac:dyDescent="0.35">
      <c r="B47" s="35"/>
      <c r="C47" s="88">
        <v>55</v>
      </c>
      <c r="D47" s="89" t="s">
        <v>97</v>
      </c>
      <c r="E47" s="38" t="s">
        <v>98</v>
      </c>
      <c r="F47" s="38">
        <v>1500494</v>
      </c>
      <c r="G47" s="216"/>
      <c r="H47" s="216"/>
      <c r="I47" s="250" t="str">
        <f t="shared" si="0"/>
        <v/>
      </c>
      <c r="J47" s="229"/>
      <c r="K47" s="229"/>
      <c r="L47" s="256" t="str">
        <f t="shared" si="1"/>
        <v/>
      </c>
      <c r="M47" s="258"/>
      <c r="N47" s="209" t="s">
        <v>383</v>
      </c>
    </row>
    <row r="48" spans="1:15" x14ac:dyDescent="0.35">
      <c r="A48" s="1">
        <v>27</v>
      </c>
      <c r="B48" s="35" t="s">
        <v>99</v>
      </c>
      <c r="C48" s="319" t="s">
        <v>100</v>
      </c>
      <c r="D48" s="320" t="s">
        <v>101</v>
      </c>
      <c r="E48" s="313" t="s">
        <v>102</v>
      </c>
      <c r="F48" s="313">
        <v>1717804</v>
      </c>
      <c r="G48" s="216">
        <v>45906</v>
      </c>
      <c r="H48" s="216">
        <v>45918</v>
      </c>
      <c r="I48" s="250">
        <f t="shared" si="0"/>
        <v>12</v>
      </c>
      <c r="J48" s="229"/>
      <c r="K48" s="229"/>
      <c r="L48" s="256" t="str">
        <f t="shared" si="1"/>
        <v/>
      </c>
      <c r="M48" s="258"/>
      <c r="N48" s="209" t="s">
        <v>387</v>
      </c>
    </row>
    <row r="49" spans="1:15" hidden="1" x14ac:dyDescent="0.35">
      <c r="B49" s="35"/>
      <c r="C49" s="88">
        <v>60</v>
      </c>
      <c r="D49" s="93" t="s">
        <v>103</v>
      </c>
      <c r="E49" s="45" t="s">
        <v>104</v>
      </c>
      <c r="F49" s="45">
        <v>1417139</v>
      </c>
      <c r="G49" s="219"/>
      <c r="H49" s="219"/>
      <c r="I49" s="250" t="str">
        <f t="shared" si="0"/>
        <v/>
      </c>
      <c r="J49" s="229"/>
      <c r="K49" s="230"/>
      <c r="L49" s="256" t="str">
        <f t="shared" si="1"/>
        <v/>
      </c>
      <c r="M49" s="258"/>
      <c r="N49" s="146" t="s">
        <v>387</v>
      </c>
    </row>
    <row r="50" spans="1:15" x14ac:dyDescent="0.35">
      <c r="A50" s="1">
        <v>28</v>
      </c>
      <c r="B50" s="35" t="s">
        <v>4</v>
      </c>
      <c r="C50" s="319" t="s">
        <v>105</v>
      </c>
      <c r="D50" s="320" t="s">
        <v>106</v>
      </c>
      <c r="E50" s="313" t="s">
        <v>107</v>
      </c>
      <c r="F50" s="313">
        <v>1553300</v>
      </c>
      <c r="G50" s="216"/>
      <c r="H50" s="299">
        <v>45910</v>
      </c>
      <c r="I50" s="250" t="str">
        <f t="shared" si="0"/>
        <v/>
      </c>
      <c r="J50" s="229">
        <v>45916</v>
      </c>
      <c r="K50" s="229" t="s">
        <v>582</v>
      </c>
      <c r="L50" s="256" t="e">
        <f t="shared" si="1"/>
        <v>#VALUE!</v>
      </c>
      <c r="M50" s="258"/>
      <c r="N50" s="209" t="s">
        <v>340</v>
      </c>
    </row>
    <row r="51" spans="1:15" s="62" customFormat="1" hidden="1" x14ac:dyDescent="0.35">
      <c r="A51" s="1"/>
      <c r="B51" s="60"/>
      <c r="C51" s="92">
        <v>63</v>
      </c>
      <c r="D51" s="93" t="s">
        <v>108</v>
      </c>
      <c r="E51" s="45" t="s">
        <v>109</v>
      </c>
      <c r="F51" s="45">
        <v>2786964</v>
      </c>
      <c r="G51" s="219"/>
      <c r="H51" s="219"/>
      <c r="I51" s="250" t="str">
        <f t="shared" si="0"/>
        <v/>
      </c>
      <c r="J51" s="229"/>
      <c r="K51" s="230"/>
      <c r="L51" s="256" t="str">
        <f t="shared" si="1"/>
        <v/>
      </c>
      <c r="M51" s="258"/>
      <c r="N51" s="146" t="s">
        <v>391</v>
      </c>
      <c r="O51" s="291"/>
    </row>
    <row r="52" spans="1:15" x14ac:dyDescent="0.35">
      <c r="A52" s="1">
        <v>29</v>
      </c>
      <c r="B52" s="35" t="s">
        <v>10</v>
      </c>
      <c r="C52" s="319" t="s">
        <v>110</v>
      </c>
      <c r="D52" s="320" t="s">
        <v>111</v>
      </c>
      <c r="E52" s="313" t="s">
        <v>112</v>
      </c>
      <c r="F52" s="313">
        <v>2895541</v>
      </c>
      <c r="G52" s="216">
        <v>45911</v>
      </c>
      <c r="H52" s="216">
        <v>45923</v>
      </c>
      <c r="I52" s="250">
        <f t="shared" si="0"/>
        <v>12</v>
      </c>
      <c r="J52" s="229"/>
      <c r="K52" s="229"/>
      <c r="L52" s="256" t="str">
        <f t="shared" si="1"/>
        <v/>
      </c>
      <c r="M52" s="258"/>
      <c r="N52" s="209" t="s">
        <v>394</v>
      </c>
    </row>
    <row r="53" spans="1:15" x14ac:dyDescent="0.35">
      <c r="A53" s="1">
        <v>30</v>
      </c>
      <c r="B53" s="35" t="s">
        <v>113</v>
      </c>
      <c r="C53" s="88" t="s">
        <v>114</v>
      </c>
      <c r="D53" s="89" t="s">
        <v>115</v>
      </c>
      <c r="E53" s="38" t="s">
        <v>116</v>
      </c>
      <c r="F53" s="38">
        <v>263496</v>
      </c>
      <c r="G53" s="216"/>
      <c r="H53" s="216"/>
      <c r="I53" s="250" t="str">
        <f t="shared" si="0"/>
        <v/>
      </c>
      <c r="J53" s="229"/>
      <c r="K53" s="229"/>
      <c r="L53" s="256" t="str">
        <f t="shared" si="1"/>
        <v/>
      </c>
      <c r="M53" s="258"/>
      <c r="N53" s="209" t="s">
        <v>397</v>
      </c>
    </row>
    <row r="54" spans="1:15" s="62" customFormat="1" ht="26" hidden="1" x14ac:dyDescent="0.35">
      <c r="A54" s="1"/>
      <c r="B54" s="60"/>
      <c r="C54" s="92">
        <v>73</v>
      </c>
      <c r="D54" s="93" t="s">
        <v>117</v>
      </c>
      <c r="E54" s="45"/>
      <c r="F54" s="45"/>
      <c r="G54" s="219"/>
      <c r="H54" s="219"/>
      <c r="I54" s="250" t="str">
        <f t="shared" si="0"/>
        <v/>
      </c>
      <c r="J54" s="229"/>
      <c r="K54" s="230"/>
      <c r="L54" s="256" t="str">
        <f t="shared" si="1"/>
        <v/>
      </c>
      <c r="M54" s="258"/>
      <c r="N54" s="146" t="s">
        <v>398</v>
      </c>
      <c r="O54" s="291"/>
    </row>
    <row r="55" spans="1:15" x14ac:dyDescent="0.35">
      <c r="A55" s="1">
        <v>31</v>
      </c>
      <c r="B55" s="35"/>
      <c r="C55" s="98" t="s">
        <v>118</v>
      </c>
      <c r="D55" s="99" t="s">
        <v>119</v>
      </c>
      <c r="E55" s="51">
        <v>9702195175080</v>
      </c>
      <c r="F55" s="51">
        <v>2902422</v>
      </c>
      <c r="G55" s="220">
        <v>45960</v>
      </c>
      <c r="H55" s="220">
        <v>45978</v>
      </c>
      <c r="I55" s="250">
        <f>IF(AND(+G55&lt;&gt;"",+H55&lt;&gt;""),+H55-G55,"")</f>
        <v>18</v>
      </c>
      <c r="J55" s="231"/>
      <c r="K55" s="231"/>
      <c r="L55" s="256" t="str">
        <f t="shared" si="1"/>
        <v/>
      </c>
      <c r="M55" s="258"/>
      <c r="N55" s="210" t="s">
        <v>400</v>
      </c>
    </row>
    <row r="56" spans="1:15" x14ac:dyDescent="0.35">
      <c r="A56" s="1">
        <v>32</v>
      </c>
      <c r="B56" s="35" t="s">
        <v>79</v>
      </c>
      <c r="C56" s="88" t="s">
        <v>120</v>
      </c>
      <c r="D56" s="89" t="s">
        <v>121</v>
      </c>
      <c r="E56" s="38" t="s">
        <v>122</v>
      </c>
      <c r="F56" s="38">
        <v>1741317</v>
      </c>
      <c r="G56" s="216"/>
      <c r="H56" s="216"/>
      <c r="I56" s="250" t="str">
        <f t="shared" si="0"/>
        <v/>
      </c>
      <c r="J56" s="229"/>
      <c r="K56" s="229"/>
      <c r="L56" s="256" t="str">
        <f t="shared" si="1"/>
        <v/>
      </c>
      <c r="M56" s="258"/>
      <c r="N56" s="211" t="s">
        <v>403</v>
      </c>
    </row>
    <row r="57" spans="1:15" s="62" customFormat="1" hidden="1" x14ac:dyDescent="0.35">
      <c r="A57" s="1"/>
      <c r="B57" s="60"/>
      <c r="C57" s="92">
        <v>77</v>
      </c>
      <c r="D57" s="93" t="s">
        <v>123</v>
      </c>
      <c r="E57" s="45" t="s">
        <v>124</v>
      </c>
      <c r="F57" s="45"/>
      <c r="G57" s="219"/>
      <c r="H57" s="219"/>
      <c r="I57" s="250" t="str">
        <f t="shared" si="0"/>
        <v/>
      </c>
      <c r="J57" s="229"/>
      <c r="K57" s="230"/>
      <c r="L57" s="256" t="str">
        <f t="shared" si="1"/>
        <v/>
      </c>
      <c r="M57" s="258"/>
      <c r="N57" s="146" t="s">
        <v>403</v>
      </c>
      <c r="O57" s="291"/>
    </row>
    <row r="58" spans="1:15" s="74" customFormat="1" ht="42.75" customHeight="1" x14ac:dyDescent="0.35">
      <c r="A58" s="1">
        <v>33</v>
      </c>
      <c r="B58" s="67" t="s">
        <v>4</v>
      </c>
      <c r="C58" s="102" t="s">
        <v>125</v>
      </c>
      <c r="D58" s="103" t="s">
        <v>126</v>
      </c>
      <c r="E58" s="70" t="s">
        <v>127</v>
      </c>
      <c r="F58" s="70">
        <v>2257376</v>
      </c>
      <c r="G58" s="221">
        <v>45901</v>
      </c>
      <c r="H58" s="221">
        <v>45913</v>
      </c>
      <c r="I58" s="250">
        <f t="shared" si="0"/>
        <v>12</v>
      </c>
      <c r="J58" s="229"/>
      <c r="K58" s="232"/>
      <c r="L58" s="256" t="str">
        <f t="shared" si="1"/>
        <v/>
      </c>
      <c r="M58" s="258"/>
      <c r="N58" s="212" t="s">
        <v>406</v>
      </c>
      <c r="O58" s="292"/>
    </row>
    <row r="59" spans="1:15" s="74" customFormat="1" x14ac:dyDescent="0.35">
      <c r="A59" s="1">
        <v>34</v>
      </c>
      <c r="B59" s="67" t="s">
        <v>128</v>
      </c>
      <c r="C59" s="102" t="s">
        <v>129</v>
      </c>
      <c r="D59" s="103" t="s">
        <v>130</v>
      </c>
      <c r="E59" s="70" t="s">
        <v>131</v>
      </c>
      <c r="F59" s="70">
        <v>1746851</v>
      </c>
      <c r="G59" s="221"/>
      <c r="H59" s="221"/>
      <c r="I59" s="250" t="str">
        <f t="shared" si="0"/>
        <v/>
      </c>
      <c r="J59" s="229"/>
      <c r="K59" s="232"/>
      <c r="L59" s="256" t="str">
        <f t="shared" si="1"/>
        <v/>
      </c>
      <c r="M59" s="258"/>
      <c r="N59" s="212" t="s">
        <v>409</v>
      </c>
      <c r="O59" s="292"/>
    </row>
    <row r="60" spans="1:15" s="74" customFormat="1" x14ac:dyDescent="0.35">
      <c r="A60" s="310">
        <v>35</v>
      </c>
      <c r="B60" s="67" t="s">
        <v>132</v>
      </c>
      <c r="C60" s="305" t="s">
        <v>133</v>
      </c>
      <c r="D60" s="306" t="s">
        <v>579</v>
      </c>
      <c r="E60" s="307" t="s">
        <v>135</v>
      </c>
      <c r="F60" s="307">
        <v>2900197</v>
      </c>
      <c r="G60" s="221">
        <v>45925</v>
      </c>
      <c r="H60" s="337">
        <v>45931</v>
      </c>
      <c r="I60" s="250">
        <f t="shared" si="0"/>
        <v>6</v>
      </c>
      <c r="J60" s="229"/>
      <c r="K60" s="232"/>
      <c r="L60" s="256" t="str">
        <f t="shared" si="1"/>
        <v/>
      </c>
      <c r="M60" s="258"/>
      <c r="N60" s="212" t="s">
        <v>409</v>
      </c>
      <c r="O60" s="292"/>
    </row>
    <row r="61" spans="1:15" s="74" customFormat="1" x14ac:dyDescent="0.35">
      <c r="A61" s="1">
        <v>36</v>
      </c>
      <c r="B61" s="106"/>
      <c r="C61" s="323" t="s">
        <v>136</v>
      </c>
      <c r="D61" s="324" t="s">
        <v>137</v>
      </c>
      <c r="E61" s="317" t="s">
        <v>138</v>
      </c>
      <c r="F61" s="317">
        <v>2002948</v>
      </c>
      <c r="G61" s="221">
        <v>45881</v>
      </c>
      <c r="H61" s="221">
        <v>45893</v>
      </c>
      <c r="I61" s="250">
        <f t="shared" si="0"/>
        <v>12</v>
      </c>
      <c r="J61" s="229">
        <v>45894</v>
      </c>
      <c r="K61" s="232">
        <v>45915</v>
      </c>
      <c r="L61" s="256">
        <f t="shared" si="1"/>
        <v>21</v>
      </c>
      <c r="M61" s="258">
        <f>M3-L61</f>
        <v>0</v>
      </c>
      <c r="N61" s="212" t="s">
        <v>414</v>
      </c>
      <c r="O61" s="292"/>
    </row>
    <row r="62" spans="1:15" s="74" customFormat="1" x14ac:dyDescent="0.35">
      <c r="A62" s="1">
        <v>37</v>
      </c>
      <c r="B62" s="67" t="s">
        <v>45</v>
      </c>
      <c r="C62" s="102" t="s">
        <v>139</v>
      </c>
      <c r="D62" s="103" t="s">
        <v>140</v>
      </c>
      <c r="E62" s="70" t="s">
        <v>141</v>
      </c>
      <c r="F62" s="70">
        <v>1327177</v>
      </c>
      <c r="G62" s="221"/>
      <c r="H62" s="221"/>
      <c r="I62" s="250" t="str">
        <f t="shared" si="0"/>
        <v/>
      </c>
      <c r="J62" s="229"/>
      <c r="K62" s="232"/>
      <c r="L62" s="256" t="str">
        <f t="shared" si="1"/>
        <v/>
      </c>
      <c r="M62" s="258"/>
      <c r="N62" s="212" t="s">
        <v>417</v>
      </c>
      <c r="O62" s="292"/>
    </row>
    <row r="63" spans="1:15" s="74" customFormat="1" x14ac:dyDescent="0.35">
      <c r="A63" s="1">
        <v>38</v>
      </c>
      <c r="B63" s="67" t="s">
        <v>142</v>
      </c>
      <c r="C63" s="102" t="s">
        <v>143</v>
      </c>
      <c r="D63" s="103" t="s">
        <v>144</v>
      </c>
      <c r="E63" s="70" t="s">
        <v>145</v>
      </c>
      <c r="F63" s="70">
        <v>2847356</v>
      </c>
      <c r="G63" s="221"/>
      <c r="H63" s="221"/>
      <c r="I63" s="250" t="str">
        <f t="shared" si="0"/>
        <v/>
      </c>
      <c r="J63" s="229">
        <v>45858</v>
      </c>
      <c r="K63" s="232">
        <v>45872</v>
      </c>
      <c r="L63" s="256">
        <f t="shared" si="1"/>
        <v>14</v>
      </c>
      <c r="M63" s="258">
        <f>M3-L63</f>
        <v>7</v>
      </c>
      <c r="N63" s="212" t="s">
        <v>420</v>
      </c>
      <c r="O63" s="292" t="s">
        <v>572</v>
      </c>
    </row>
    <row r="64" spans="1:15" s="74" customFormat="1" x14ac:dyDescent="0.35">
      <c r="A64" s="310"/>
      <c r="B64" s="67"/>
      <c r="C64" s="305"/>
      <c r="D64" s="306" t="s">
        <v>144</v>
      </c>
      <c r="E64" s="307" t="s">
        <v>145</v>
      </c>
      <c r="F64" s="307">
        <v>2847356</v>
      </c>
      <c r="G64" s="221">
        <v>45918</v>
      </c>
      <c r="H64" s="333">
        <v>45930</v>
      </c>
      <c r="I64" s="250">
        <f t="shared" si="0"/>
        <v>12</v>
      </c>
      <c r="J64" s="229">
        <v>45931</v>
      </c>
      <c r="K64" s="338">
        <v>45938</v>
      </c>
      <c r="L64" s="256">
        <f t="shared" si="1"/>
        <v>7</v>
      </c>
      <c r="M64" s="258">
        <v>0</v>
      </c>
      <c r="N64" s="212"/>
      <c r="O64" s="292" t="s">
        <v>572</v>
      </c>
    </row>
    <row r="65" spans="1:16" s="74" customFormat="1" x14ac:dyDescent="0.35">
      <c r="A65" s="1">
        <v>39</v>
      </c>
      <c r="B65" s="67" t="s">
        <v>79</v>
      </c>
      <c r="C65" s="102" t="s">
        <v>146</v>
      </c>
      <c r="D65" s="103" t="s">
        <v>147</v>
      </c>
      <c r="E65" s="70" t="s">
        <v>148</v>
      </c>
      <c r="F65" s="70">
        <v>2734113</v>
      </c>
      <c r="G65" s="221"/>
      <c r="H65" s="221"/>
      <c r="I65" s="250" t="str">
        <f t="shared" si="0"/>
        <v/>
      </c>
      <c r="J65" s="229"/>
      <c r="K65" s="232"/>
      <c r="L65" s="256" t="str">
        <f t="shared" si="1"/>
        <v/>
      </c>
      <c r="M65" s="258"/>
      <c r="N65" s="212" t="s">
        <v>420</v>
      </c>
      <c r="O65" s="292"/>
    </row>
    <row r="66" spans="1:16" s="74" customFormat="1" x14ac:dyDescent="0.35">
      <c r="A66" s="1">
        <v>40</v>
      </c>
      <c r="B66" s="67" t="s">
        <v>56</v>
      </c>
      <c r="C66" s="66" t="s">
        <v>149</v>
      </c>
      <c r="D66" s="69" t="s">
        <v>150</v>
      </c>
      <c r="E66" s="70" t="s">
        <v>151</v>
      </c>
      <c r="F66" s="69">
        <v>1410053</v>
      </c>
      <c r="G66" s="221"/>
      <c r="H66" s="221"/>
      <c r="I66" s="250" t="str">
        <f t="shared" si="0"/>
        <v/>
      </c>
      <c r="J66" s="229"/>
      <c r="K66" s="232"/>
      <c r="L66" s="256" t="str">
        <f t="shared" si="1"/>
        <v/>
      </c>
      <c r="M66" s="258"/>
      <c r="N66" s="212" t="s">
        <v>425</v>
      </c>
      <c r="O66" s="292"/>
    </row>
    <row r="67" spans="1:16" s="74" customFormat="1" ht="26" x14ac:dyDescent="0.35">
      <c r="A67" s="1">
        <v>41</v>
      </c>
      <c r="B67" s="67" t="s">
        <v>153</v>
      </c>
      <c r="C67" s="84" t="s">
        <v>152</v>
      </c>
      <c r="D67" s="37" t="s">
        <v>154</v>
      </c>
      <c r="E67" s="38" t="s">
        <v>155</v>
      </c>
      <c r="F67" s="37">
        <v>2110665</v>
      </c>
      <c r="G67" s="216"/>
      <c r="H67" s="216"/>
      <c r="I67" s="250" t="str">
        <f t="shared" si="0"/>
        <v/>
      </c>
      <c r="J67" s="229"/>
      <c r="K67" s="232"/>
      <c r="L67" s="256" t="str">
        <f t="shared" si="1"/>
        <v/>
      </c>
      <c r="M67" s="258"/>
      <c r="N67" s="212" t="s">
        <v>427</v>
      </c>
      <c r="O67" s="292"/>
    </row>
    <row r="68" spans="1:16" s="74" customFormat="1" x14ac:dyDescent="0.35">
      <c r="A68" s="1">
        <v>42</v>
      </c>
      <c r="B68" s="67" t="s">
        <v>10</v>
      </c>
      <c r="C68" s="84" t="s">
        <v>156</v>
      </c>
      <c r="D68" s="37" t="s">
        <v>157</v>
      </c>
      <c r="E68" s="70" t="s">
        <v>158</v>
      </c>
      <c r="F68" s="37">
        <v>2652479</v>
      </c>
      <c r="G68" s="216"/>
      <c r="H68" s="216"/>
      <c r="I68" s="250" t="str">
        <f t="shared" si="0"/>
        <v/>
      </c>
      <c r="J68" s="229"/>
      <c r="K68" s="232"/>
      <c r="L68" s="256" t="str">
        <f t="shared" si="1"/>
        <v/>
      </c>
      <c r="M68" s="258"/>
      <c r="N68" s="212" t="s">
        <v>427</v>
      </c>
      <c r="O68" s="292"/>
    </row>
    <row r="69" spans="1:16" s="74" customFormat="1" x14ac:dyDescent="0.35">
      <c r="A69" s="310">
        <v>43</v>
      </c>
      <c r="B69" s="67" t="s">
        <v>159</v>
      </c>
      <c r="C69" s="308" t="s">
        <v>160</v>
      </c>
      <c r="D69" s="304" t="s">
        <v>161</v>
      </c>
      <c r="E69" s="307" t="s">
        <v>162</v>
      </c>
      <c r="F69" s="304">
        <v>2003192</v>
      </c>
      <c r="G69" s="216">
        <v>45926</v>
      </c>
      <c r="H69" s="216">
        <v>45950</v>
      </c>
      <c r="I69" s="250">
        <f t="shared" ref="I69:I75" si="2">IF(AND(+G69&lt;&gt;"",+H69&lt;&gt;""),+H69-G69,"")</f>
        <v>24</v>
      </c>
      <c r="J69" s="229">
        <v>45951</v>
      </c>
      <c r="K69" s="232">
        <v>45972</v>
      </c>
      <c r="L69" s="256">
        <f t="shared" si="1"/>
        <v>21</v>
      </c>
      <c r="M69" s="258">
        <f>M3-L69</f>
        <v>0</v>
      </c>
      <c r="N69" s="212" t="s">
        <v>432</v>
      </c>
      <c r="O69" s="292"/>
    </row>
    <row r="70" spans="1:16" s="74" customFormat="1" x14ac:dyDescent="0.35">
      <c r="A70" s="1">
        <v>44</v>
      </c>
      <c r="B70" s="67" t="s">
        <v>113</v>
      </c>
      <c r="C70" s="84" t="s">
        <v>163</v>
      </c>
      <c r="D70" s="37" t="s">
        <v>164</v>
      </c>
      <c r="E70" s="38" t="s">
        <v>165</v>
      </c>
      <c r="F70" s="37">
        <v>3248542</v>
      </c>
      <c r="G70" s="216">
        <v>45982</v>
      </c>
      <c r="H70" s="216">
        <v>45994</v>
      </c>
      <c r="I70" s="250">
        <f t="shared" si="2"/>
        <v>12</v>
      </c>
      <c r="J70" s="229"/>
      <c r="K70" s="232"/>
      <c r="L70" s="256" t="str">
        <f t="shared" ref="L70:L95" si="3">IF(AND(+J70&lt;&gt;"",+K70&lt;&gt;""),+K70-J70,"")</f>
        <v/>
      </c>
      <c r="M70" s="258"/>
      <c r="N70" s="212" t="s">
        <v>435</v>
      </c>
      <c r="O70" s="292"/>
    </row>
    <row r="71" spans="1:16" s="74" customFormat="1" ht="84" x14ac:dyDescent="0.35">
      <c r="A71" s="1">
        <v>45</v>
      </c>
      <c r="B71" s="67" t="s">
        <v>166</v>
      </c>
      <c r="C71" s="84" t="s">
        <v>167</v>
      </c>
      <c r="D71" s="37" t="s">
        <v>168</v>
      </c>
      <c r="E71" s="38" t="s">
        <v>169</v>
      </c>
      <c r="F71" s="37">
        <v>3181505</v>
      </c>
      <c r="G71" s="216">
        <v>45924</v>
      </c>
      <c r="H71" s="216">
        <v>45939</v>
      </c>
      <c r="I71" s="250">
        <f t="shared" si="2"/>
        <v>15</v>
      </c>
      <c r="J71" s="229"/>
      <c r="K71" s="232"/>
      <c r="L71" s="256" t="str">
        <f t="shared" si="3"/>
        <v/>
      </c>
      <c r="M71" s="258"/>
      <c r="N71" s="212" t="s">
        <v>438</v>
      </c>
      <c r="O71" s="292" t="s">
        <v>570</v>
      </c>
    </row>
    <row r="72" spans="1:16" s="74" customFormat="1" ht="28" x14ac:dyDescent="0.35">
      <c r="A72" s="310">
        <v>46</v>
      </c>
      <c r="B72" s="67" t="s">
        <v>142</v>
      </c>
      <c r="C72" s="308" t="s">
        <v>170</v>
      </c>
      <c r="D72" s="304" t="s">
        <v>171</v>
      </c>
      <c r="E72" s="309" t="s">
        <v>172</v>
      </c>
      <c r="F72" s="304">
        <v>3210067</v>
      </c>
      <c r="G72" s="216">
        <v>45921</v>
      </c>
      <c r="H72" s="216">
        <v>45933</v>
      </c>
      <c r="I72" s="250">
        <f t="shared" si="2"/>
        <v>12</v>
      </c>
      <c r="J72" s="229">
        <v>45934</v>
      </c>
      <c r="K72" s="338">
        <v>45939</v>
      </c>
      <c r="L72" s="256">
        <f t="shared" si="3"/>
        <v>5</v>
      </c>
      <c r="M72" s="258">
        <f>M3-L72</f>
        <v>16</v>
      </c>
      <c r="N72" s="212" t="s">
        <v>441</v>
      </c>
      <c r="O72" s="292" t="s">
        <v>577</v>
      </c>
    </row>
    <row r="73" spans="1:16" s="74" customFormat="1" x14ac:dyDescent="0.35">
      <c r="A73" s="1">
        <v>47</v>
      </c>
      <c r="B73" s="67" t="s">
        <v>79</v>
      </c>
      <c r="C73" s="322" t="s">
        <v>173</v>
      </c>
      <c r="D73" s="312" t="s">
        <v>174</v>
      </c>
      <c r="E73" s="313">
        <v>9504135233080</v>
      </c>
      <c r="F73" s="312">
        <v>2807179</v>
      </c>
      <c r="G73" s="216">
        <v>45883</v>
      </c>
      <c r="H73" s="216">
        <v>45895</v>
      </c>
      <c r="I73" s="250">
        <f t="shared" si="2"/>
        <v>12</v>
      </c>
      <c r="J73" s="229">
        <v>45896</v>
      </c>
      <c r="K73" s="228">
        <v>45911</v>
      </c>
      <c r="L73" s="256">
        <f t="shared" si="3"/>
        <v>15</v>
      </c>
      <c r="M73" s="258">
        <f>M3-L73</f>
        <v>6</v>
      </c>
      <c r="N73" s="213" t="s">
        <v>444</v>
      </c>
      <c r="O73" s="292" t="s">
        <v>576</v>
      </c>
    </row>
    <row r="74" spans="1:16" s="74" customFormat="1" x14ac:dyDescent="0.35">
      <c r="A74" s="1">
        <v>48</v>
      </c>
      <c r="B74" s="67" t="s">
        <v>166</v>
      </c>
      <c r="C74" s="84" t="s">
        <v>175</v>
      </c>
      <c r="D74" s="37" t="s">
        <v>176</v>
      </c>
      <c r="E74" s="38" t="s">
        <v>177</v>
      </c>
      <c r="F74" s="37">
        <v>2501777</v>
      </c>
      <c r="G74" s="216"/>
      <c r="H74" s="216"/>
      <c r="I74" s="250" t="str">
        <f t="shared" si="2"/>
        <v/>
      </c>
      <c r="J74" s="229"/>
      <c r="K74" s="228"/>
      <c r="L74" s="256" t="str">
        <f t="shared" si="3"/>
        <v/>
      </c>
      <c r="M74" s="258"/>
      <c r="N74" s="213" t="s">
        <v>444</v>
      </c>
      <c r="O74" s="292"/>
    </row>
    <row r="75" spans="1:16" s="74" customFormat="1" x14ac:dyDescent="0.35">
      <c r="A75" s="1">
        <v>49</v>
      </c>
      <c r="B75" s="67" t="s">
        <v>142</v>
      </c>
      <c r="C75" s="84" t="s">
        <v>178</v>
      </c>
      <c r="D75" s="37" t="s">
        <v>179</v>
      </c>
      <c r="E75" s="38" t="s">
        <v>180</v>
      </c>
      <c r="F75" s="37">
        <v>2121020</v>
      </c>
      <c r="G75" s="216">
        <v>45891</v>
      </c>
      <c r="H75" s="216">
        <v>45903</v>
      </c>
      <c r="I75" s="250">
        <f t="shared" si="2"/>
        <v>12</v>
      </c>
      <c r="J75" s="229">
        <v>45904</v>
      </c>
      <c r="K75" s="228">
        <v>45925</v>
      </c>
      <c r="L75" s="256">
        <f t="shared" si="3"/>
        <v>21</v>
      </c>
      <c r="M75" s="258">
        <f>M3-L75</f>
        <v>0</v>
      </c>
      <c r="N75" s="213" t="s">
        <v>449</v>
      </c>
      <c r="O75" s="292"/>
    </row>
    <row r="76" spans="1:16" s="74" customFormat="1" x14ac:dyDescent="0.35">
      <c r="A76" s="1">
        <v>50</v>
      </c>
      <c r="B76" s="67" t="s">
        <v>79</v>
      </c>
      <c r="C76" s="84" t="s">
        <v>181</v>
      </c>
      <c r="D76" s="37" t="s">
        <v>182</v>
      </c>
      <c r="E76" s="38" t="s">
        <v>183</v>
      </c>
      <c r="F76" s="37">
        <v>1760406</v>
      </c>
      <c r="G76" s="216"/>
      <c r="H76" s="216"/>
      <c r="I76" s="250" t="str">
        <f t="shared" ref="I76:I89" si="4">IF(AND(+G76&lt;&gt;"",+H76&lt;&gt;""),+H76-G76,"")</f>
        <v/>
      </c>
      <c r="J76" s="229"/>
      <c r="K76" s="228"/>
      <c r="L76" s="256" t="str">
        <f t="shared" si="3"/>
        <v/>
      </c>
      <c r="M76" s="258"/>
      <c r="N76" s="213" t="s">
        <v>452</v>
      </c>
      <c r="O76" s="292"/>
    </row>
    <row r="77" spans="1:16" s="74" customFormat="1" x14ac:dyDescent="0.35">
      <c r="A77" s="1">
        <v>51</v>
      </c>
      <c r="B77" s="106" t="s">
        <v>33</v>
      </c>
      <c r="C77" s="84" t="s">
        <v>184</v>
      </c>
      <c r="D77" s="37" t="s">
        <v>185</v>
      </c>
      <c r="E77" s="38" t="s">
        <v>186</v>
      </c>
      <c r="F77" s="37">
        <v>1925801</v>
      </c>
      <c r="G77" s="216">
        <v>45970</v>
      </c>
      <c r="H77" s="216">
        <v>45982</v>
      </c>
      <c r="I77" s="250">
        <f t="shared" si="4"/>
        <v>12</v>
      </c>
      <c r="J77" s="229"/>
      <c r="K77" s="228"/>
      <c r="L77" s="256" t="str">
        <f t="shared" si="3"/>
        <v/>
      </c>
      <c r="M77" s="258"/>
      <c r="N77" s="213" t="s">
        <v>452</v>
      </c>
      <c r="O77" s="292"/>
    </row>
    <row r="78" spans="1:16" s="74" customFormat="1" ht="28" x14ac:dyDescent="0.35">
      <c r="A78" s="1">
        <v>52</v>
      </c>
      <c r="B78" s="67" t="s">
        <v>187</v>
      </c>
      <c r="C78" s="84" t="s">
        <v>188</v>
      </c>
      <c r="D78" s="37" t="s">
        <v>189</v>
      </c>
      <c r="E78" s="38" t="s">
        <v>190</v>
      </c>
      <c r="F78" s="37">
        <v>2688427</v>
      </c>
      <c r="G78" s="216">
        <v>45945</v>
      </c>
      <c r="H78" s="216">
        <v>45957</v>
      </c>
      <c r="I78" s="250">
        <f t="shared" si="4"/>
        <v>12</v>
      </c>
      <c r="J78" s="229">
        <v>45958</v>
      </c>
      <c r="K78" s="228">
        <v>45968</v>
      </c>
      <c r="L78" s="256">
        <f t="shared" si="3"/>
        <v>10</v>
      </c>
      <c r="M78" s="258">
        <f>M3-L78</f>
        <v>11</v>
      </c>
      <c r="N78" s="213" t="s">
        <v>456</v>
      </c>
      <c r="O78" s="292" t="s">
        <v>571</v>
      </c>
    </row>
    <row r="79" spans="1:16" s="74" customFormat="1" x14ac:dyDescent="0.35">
      <c r="A79" s="310">
        <v>53</v>
      </c>
      <c r="B79" s="67" t="s">
        <v>191</v>
      </c>
      <c r="C79" s="308" t="s">
        <v>192</v>
      </c>
      <c r="D79" s="304" t="s">
        <v>193</v>
      </c>
      <c r="E79" s="302" t="s">
        <v>194</v>
      </c>
      <c r="F79" s="304">
        <v>2113976</v>
      </c>
      <c r="G79" s="334">
        <v>45932</v>
      </c>
      <c r="H79" s="216">
        <v>45944</v>
      </c>
      <c r="I79" s="250">
        <f t="shared" si="4"/>
        <v>12</v>
      </c>
      <c r="J79" s="229">
        <v>45945</v>
      </c>
      <c r="K79" s="228">
        <v>45966</v>
      </c>
      <c r="L79" s="256">
        <f t="shared" si="3"/>
        <v>21</v>
      </c>
      <c r="M79" s="258">
        <f>M3-L79</f>
        <v>0</v>
      </c>
      <c r="N79" s="213" t="s">
        <v>459</v>
      </c>
      <c r="O79" s="292"/>
    </row>
    <row r="80" spans="1:16" s="74" customFormat="1" ht="28" x14ac:dyDescent="0.35">
      <c r="A80" s="1"/>
      <c r="B80" s="67" t="s">
        <v>79</v>
      </c>
      <c r="C80" s="146" t="s">
        <v>195</v>
      </c>
      <c r="D80" s="130" t="s">
        <v>196</v>
      </c>
      <c r="E80" s="347" t="s">
        <v>197</v>
      </c>
      <c r="F80" s="130">
        <v>2997686</v>
      </c>
      <c r="G80" s="344">
        <v>45827</v>
      </c>
      <c r="H80" s="344">
        <v>45839</v>
      </c>
      <c r="I80" s="341">
        <f t="shared" si="4"/>
        <v>12</v>
      </c>
      <c r="J80" s="345">
        <v>45840</v>
      </c>
      <c r="K80" s="346">
        <v>45869</v>
      </c>
      <c r="L80" s="342">
        <f t="shared" si="3"/>
        <v>29</v>
      </c>
      <c r="M80" s="348">
        <f>M3-L80</f>
        <v>-8</v>
      </c>
      <c r="N80" s="130" t="s">
        <v>456</v>
      </c>
      <c r="O80" s="343" t="s">
        <v>597</v>
      </c>
      <c r="P80" s="349"/>
    </row>
    <row r="81" spans="1:15" s="74" customFormat="1" x14ac:dyDescent="0.35">
      <c r="A81" s="1">
        <v>54</v>
      </c>
      <c r="B81" s="67" t="s">
        <v>199</v>
      </c>
      <c r="C81" s="84" t="s">
        <v>198</v>
      </c>
      <c r="D81" s="37" t="s">
        <v>200</v>
      </c>
      <c r="E81" s="38" t="s">
        <v>201</v>
      </c>
      <c r="F81" s="37">
        <v>2869124</v>
      </c>
      <c r="G81" s="216"/>
      <c r="H81" s="216"/>
      <c r="I81" s="250" t="str">
        <f t="shared" si="4"/>
        <v/>
      </c>
      <c r="J81" s="229"/>
      <c r="K81" s="228"/>
      <c r="L81" s="256" t="str">
        <f t="shared" si="3"/>
        <v/>
      </c>
      <c r="M81" s="258"/>
      <c r="N81" s="213" t="s">
        <v>459</v>
      </c>
      <c r="O81" s="292"/>
    </row>
    <row r="82" spans="1:15" s="74" customFormat="1" x14ac:dyDescent="0.35">
      <c r="A82" s="1">
        <v>55</v>
      </c>
      <c r="B82" s="67" t="s">
        <v>203</v>
      </c>
      <c r="C82" s="84" t="s">
        <v>202</v>
      </c>
      <c r="D82" s="37" t="s">
        <v>204</v>
      </c>
      <c r="E82" s="38" t="s">
        <v>205</v>
      </c>
      <c r="F82" s="37">
        <v>2449277</v>
      </c>
      <c r="G82" s="216">
        <v>45929</v>
      </c>
      <c r="H82" s="216">
        <v>45947</v>
      </c>
      <c r="I82" s="250">
        <f t="shared" si="4"/>
        <v>18</v>
      </c>
      <c r="J82" s="229"/>
      <c r="K82" s="228"/>
      <c r="L82" s="256" t="str">
        <f t="shared" si="3"/>
        <v/>
      </c>
      <c r="M82" s="258" t="e">
        <f>M3-L82</f>
        <v>#VALUE!</v>
      </c>
      <c r="N82" s="213" t="s">
        <v>459</v>
      </c>
      <c r="O82" s="292"/>
    </row>
    <row r="83" spans="1:15" s="74" customFormat="1" x14ac:dyDescent="0.35">
      <c r="A83" s="1">
        <v>56</v>
      </c>
      <c r="B83" s="67" t="s">
        <v>206</v>
      </c>
      <c r="C83" s="84" t="s">
        <v>207</v>
      </c>
      <c r="D83" s="37" t="s">
        <v>208</v>
      </c>
      <c r="E83" s="38" t="s">
        <v>209</v>
      </c>
      <c r="F83" s="37">
        <v>2340229</v>
      </c>
      <c r="G83" s="216"/>
      <c r="H83" s="216"/>
      <c r="I83" s="250" t="str">
        <f t="shared" si="4"/>
        <v/>
      </c>
      <c r="J83" s="229"/>
      <c r="K83" s="228"/>
      <c r="L83" s="256" t="str">
        <f t="shared" si="3"/>
        <v/>
      </c>
      <c r="M83" s="258"/>
      <c r="N83" s="213" t="s">
        <v>467</v>
      </c>
      <c r="O83" s="292"/>
    </row>
    <row r="84" spans="1:15" s="74" customFormat="1" x14ac:dyDescent="0.35">
      <c r="A84" s="1">
        <v>57</v>
      </c>
      <c r="B84" s="67" t="s">
        <v>45</v>
      </c>
      <c r="C84" s="114" t="s">
        <v>210</v>
      </c>
      <c r="D84" s="37" t="s">
        <v>211</v>
      </c>
      <c r="E84" s="38" t="s">
        <v>212</v>
      </c>
      <c r="F84" s="37">
        <v>810265</v>
      </c>
      <c r="G84" s="216">
        <v>45883</v>
      </c>
      <c r="H84" s="216">
        <v>45895</v>
      </c>
      <c r="I84" s="250">
        <f t="shared" si="4"/>
        <v>12</v>
      </c>
      <c r="J84" s="229"/>
      <c r="K84" s="228"/>
      <c r="L84" s="256" t="str">
        <f t="shared" si="3"/>
        <v/>
      </c>
      <c r="M84" s="258"/>
      <c r="N84" s="213" t="s">
        <v>467</v>
      </c>
      <c r="O84" s="292"/>
    </row>
    <row r="85" spans="1:15" s="74" customFormat="1" x14ac:dyDescent="0.35">
      <c r="A85" s="1">
        <v>58</v>
      </c>
      <c r="B85" s="67" t="s">
        <v>214</v>
      </c>
      <c r="C85" s="321" t="s">
        <v>213</v>
      </c>
      <c r="D85" s="312" t="s">
        <v>215</v>
      </c>
      <c r="E85" s="313" t="s">
        <v>216</v>
      </c>
      <c r="F85" s="312">
        <v>2036144</v>
      </c>
      <c r="G85" s="216">
        <v>45904</v>
      </c>
      <c r="H85" s="216">
        <v>45916</v>
      </c>
      <c r="I85" s="250">
        <f t="shared" si="4"/>
        <v>12</v>
      </c>
      <c r="J85" s="229">
        <v>45917</v>
      </c>
      <c r="K85" s="228">
        <v>45922</v>
      </c>
      <c r="L85" s="256">
        <f t="shared" si="3"/>
        <v>5</v>
      </c>
      <c r="M85" s="258">
        <f>M3-L85</f>
        <v>16</v>
      </c>
      <c r="N85" s="213" t="s">
        <v>470</v>
      </c>
      <c r="O85" s="292"/>
    </row>
    <row r="86" spans="1:15" s="74" customFormat="1" x14ac:dyDescent="0.35">
      <c r="A86" s="1">
        <v>59</v>
      </c>
      <c r="B86" s="35" t="s">
        <v>56</v>
      </c>
      <c r="C86" s="114" t="s">
        <v>217</v>
      </c>
      <c r="D86" s="37" t="s">
        <v>218</v>
      </c>
      <c r="E86" s="38" t="s">
        <v>219</v>
      </c>
      <c r="F86" s="37">
        <v>1744364</v>
      </c>
      <c r="G86" s="216"/>
      <c r="H86" s="216"/>
      <c r="I86" s="250" t="str">
        <f t="shared" si="4"/>
        <v/>
      </c>
      <c r="J86" s="229"/>
      <c r="K86" s="231"/>
      <c r="L86" s="256" t="str">
        <f t="shared" si="3"/>
        <v/>
      </c>
      <c r="M86" s="258"/>
      <c r="N86" s="210" t="s">
        <v>473</v>
      </c>
      <c r="O86" s="292"/>
    </row>
    <row r="87" spans="1:15" x14ac:dyDescent="0.35">
      <c r="A87" s="1">
        <v>60</v>
      </c>
      <c r="B87" s="115" t="s">
        <v>220</v>
      </c>
      <c r="C87" s="116" t="s">
        <v>221</v>
      </c>
      <c r="D87" s="37" t="s">
        <v>222</v>
      </c>
      <c r="E87" s="38" t="s">
        <v>223</v>
      </c>
      <c r="F87" s="117" t="s">
        <v>224</v>
      </c>
      <c r="G87" s="216"/>
      <c r="H87" s="216"/>
      <c r="I87" s="250" t="str">
        <f t="shared" si="4"/>
        <v/>
      </c>
      <c r="J87" s="229"/>
      <c r="K87" s="228"/>
      <c r="L87" s="257" t="str">
        <f t="shared" si="3"/>
        <v/>
      </c>
      <c r="M87" s="259"/>
      <c r="N87" s="213" t="s">
        <v>467</v>
      </c>
    </row>
    <row r="88" spans="1:15" x14ac:dyDescent="0.35">
      <c r="A88" s="1">
        <v>61</v>
      </c>
      <c r="B88" s="115" t="s">
        <v>225</v>
      </c>
      <c r="C88" s="116" t="s">
        <v>226</v>
      </c>
      <c r="D88" s="37" t="s">
        <v>227</v>
      </c>
      <c r="E88" s="38" t="s">
        <v>228</v>
      </c>
      <c r="F88" s="117" t="s">
        <v>229</v>
      </c>
      <c r="G88" s="216">
        <v>45985</v>
      </c>
      <c r="H88" s="216">
        <v>45997</v>
      </c>
      <c r="I88" s="250">
        <f t="shared" si="4"/>
        <v>12</v>
      </c>
      <c r="J88" s="231"/>
      <c r="K88" s="228"/>
      <c r="L88" s="257" t="str">
        <f t="shared" si="3"/>
        <v/>
      </c>
      <c r="M88" s="259"/>
      <c r="N88" s="213" t="s">
        <v>467</v>
      </c>
    </row>
    <row r="89" spans="1:15" x14ac:dyDescent="0.35">
      <c r="A89" s="1">
        <v>62</v>
      </c>
      <c r="B89" s="35" t="s">
        <v>45</v>
      </c>
      <c r="C89" s="116" t="s">
        <v>230</v>
      </c>
      <c r="D89" s="50" t="s">
        <v>231</v>
      </c>
      <c r="E89" s="51" t="s">
        <v>232</v>
      </c>
      <c r="F89" s="118" t="s">
        <v>233</v>
      </c>
      <c r="G89" s="220">
        <v>45910</v>
      </c>
      <c r="H89" s="220">
        <v>45919</v>
      </c>
      <c r="I89" s="250">
        <f t="shared" si="4"/>
        <v>9</v>
      </c>
      <c r="J89" s="231"/>
      <c r="K89" s="231"/>
      <c r="L89" s="257" t="str">
        <f t="shared" si="3"/>
        <v/>
      </c>
      <c r="M89" s="259"/>
      <c r="N89" s="214" t="s">
        <v>480</v>
      </c>
    </row>
    <row r="90" spans="1:15" x14ac:dyDescent="0.35">
      <c r="A90" s="1">
        <v>63</v>
      </c>
      <c r="B90" s="115" t="s">
        <v>56</v>
      </c>
      <c r="C90" s="119" t="s">
        <v>234</v>
      </c>
      <c r="D90" s="37" t="s">
        <v>235</v>
      </c>
      <c r="E90" s="38">
        <v>8904035464085</v>
      </c>
      <c r="F90" s="117" t="s">
        <v>236</v>
      </c>
      <c r="G90" s="216">
        <v>45960</v>
      </c>
      <c r="H90" s="216">
        <v>45972</v>
      </c>
      <c r="I90" s="250">
        <f>IF(AND(+G90&lt;&gt;"",+H90&lt;&gt;""),+H90-G90,"")</f>
        <v>12</v>
      </c>
      <c r="J90" s="231">
        <v>45973</v>
      </c>
      <c r="K90" s="228">
        <v>45992</v>
      </c>
      <c r="L90" s="257">
        <f t="shared" si="3"/>
        <v>19</v>
      </c>
      <c r="M90" s="259">
        <f>M3-L90</f>
        <v>2</v>
      </c>
      <c r="N90" s="213" t="s">
        <v>467</v>
      </c>
      <c r="O90" s="293"/>
    </row>
    <row r="91" spans="1:15" x14ac:dyDescent="0.35">
      <c r="A91" s="1">
        <v>64</v>
      </c>
      <c r="B91" s="120" t="s">
        <v>79</v>
      </c>
      <c r="C91" s="121" t="s">
        <v>237</v>
      </c>
      <c r="D91" s="109" t="s">
        <v>238</v>
      </c>
      <c r="E91" s="122" t="s">
        <v>239</v>
      </c>
      <c r="F91" s="123" t="s">
        <v>240</v>
      </c>
      <c r="G91" s="227">
        <v>45925</v>
      </c>
      <c r="H91" s="227">
        <v>45939</v>
      </c>
      <c r="I91" s="250">
        <f t="shared" ref="I91:I95" si="5">IF(AND(+G91&lt;&gt;"",+H91&lt;&gt;""),+H91-G91,"")</f>
        <v>14</v>
      </c>
      <c r="J91" s="233"/>
      <c r="K91" s="234"/>
      <c r="L91" s="257" t="str">
        <f t="shared" si="3"/>
        <v/>
      </c>
      <c r="M91" s="259"/>
      <c r="N91" s="215" t="s">
        <v>467</v>
      </c>
    </row>
    <row r="92" spans="1:15" x14ac:dyDescent="0.35">
      <c r="A92" s="1">
        <v>65</v>
      </c>
      <c r="B92" s="35" t="s">
        <v>4</v>
      </c>
      <c r="C92" s="116" t="s">
        <v>241</v>
      </c>
      <c r="D92" s="50" t="s">
        <v>242</v>
      </c>
      <c r="E92" s="51" t="s">
        <v>243</v>
      </c>
      <c r="F92" s="118" t="s">
        <v>244</v>
      </c>
      <c r="G92" s="220" t="s">
        <v>583</v>
      </c>
      <c r="H92" s="220"/>
      <c r="I92" s="250" t="str">
        <f t="shared" si="5"/>
        <v/>
      </c>
      <c r="J92" s="231"/>
      <c r="K92" s="231"/>
      <c r="L92" s="257" t="str">
        <f t="shared" si="3"/>
        <v/>
      </c>
      <c r="M92" s="259"/>
      <c r="N92" s="214" t="s">
        <v>485</v>
      </c>
    </row>
    <row r="93" spans="1:15" x14ac:dyDescent="0.35">
      <c r="A93" s="1">
        <v>66</v>
      </c>
      <c r="B93" s="124" t="s">
        <v>245</v>
      </c>
      <c r="C93" s="116" t="s">
        <v>246</v>
      </c>
      <c r="D93" s="50" t="s">
        <v>247</v>
      </c>
      <c r="E93" s="51" t="s">
        <v>248</v>
      </c>
      <c r="F93" s="50">
        <v>1529119</v>
      </c>
      <c r="G93" s="220">
        <v>45941</v>
      </c>
      <c r="H93" s="220">
        <v>45953</v>
      </c>
      <c r="I93" s="250">
        <f t="shared" si="5"/>
        <v>12</v>
      </c>
      <c r="J93" s="231"/>
      <c r="K93" s="231"/>
      <c r="L93" s="257" t="str">
        <f t="shared" si="3"/>
        <v/>
      </c>
      <c r="M93" s="259"/>
      <c r="N93" s="210" t="s">
        <v>473</v>
      </c>
    </row>
    <row r="94" spans="1:15" x14ac:dyDescent="0.35">
      <c r="A94" s="1">
        <v>67</v>
      </c>
      <c r="B94" s="115" t="s">
        <v>4</v>
      </c>
      <c r="C94" s="116" t="s">
        <v>249</v>
      </c>
      <c r="D94" s="37" t="s">
        <v>250</v>
      </c>
      <c r="E94" s="38" t="s">
        <v>251</v>
      </c>
      <c r="F94" s="117" t="s">
        <v>252</v>
      </c>
      <c r="G94" s="216"/>
      <c r="H94" s="216"/>
      <c r="I94" s="250" t="str">
        <f t="shared" si="5"/>
        <v/>
      </c>
      <c r="J94" s="231"/>
      <c r="K94" s="228"/>
      <c r="L94" s="257" t="str">
        <f t="shared" si="3"/>
        <v/>
      </c>
      <c r="M94" s="259"/>
      <c r="N94" s="213" t="s">
        <v>467</v>
      </c>
    </row>
    <row r="95" spans="1:15" x14ac:dyDescent="0.35">
      <c r="A95" s="1">
        <v>68</v>
      </c>
      <c r="B95" s="35"/>
      <c r="C95" s="325" t="s">
        <v>253</v>
      </c>
      <c r="D95" s="326" t="s">
        <v>254</v>
      </c>
      <c r="E95" s="327" t="s">
        <v>255</v>
      </c>
      <c r="F95" s="326">
        <v>4829068</v>
      </c>
      <c r="G95" s="220">
        <v>45922</v>
      </c>
      <c r="H95" s="220">
        <v>45946</v>
      </c>
      <c r="I95" s="250">
        <f t="shared" si="5"/>
        <v>24</v>
      </c>
      <c r="J95" s="231"/>
      <c r="K95" s="231"/>
      <c r="L95" s="257" t="str">
        <f t="shared" si="3"/>
        <v/>
      </c>
      <c r="M95" s="259"/>
      <c r="N95" s="210" t="s">
        <v>492</v>
      </c>
      <c r="O95" s="290" t="s">
        <v>589</v>
      </c>
    </row>
    <row r="96" spans="1:15" x14ac:dyDescent="0.35">
      <c r="J96" s="260"/>
    </row>
    <row r="98" spans="6:8" x14ac:dyDescent="0.35">
      <c r="F98" s="251"/>
      <c r="G98" s="252" t="s">
        <v>513</v>
      </c>
      <c r="H98" s="252"/>
    </row>
  </sheetData>
  <pageMargins left="0.70866141732283472" right="0.70866141732283472" top="0.74803149606299213" bottom="0.74803149606299213" header="0.31496062992125984" footer="0.31496062992125984"/>
  <pageSetup paperSize="9" scale="70" fitToHeight="4" orientation="landscape" horizontalDpi="4294967293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AFFF2-6FED-4B07-B9A1-E3B8E50906EA}">
  <dimension ref="A1:K95"/>
  <sheetViews>
    <sheetView topLeftCell="A22" workbookViewId="0">
      <selection activeCell="A93" sqref="A93"/>
    </sheetView>
  </sheetViews>
  <sheetFormatPr defaultRowHeight="20" x14ac:dyDescent="0.35"/>
  <cols>
    <col min="1" max="1" width="3.7265625" style="1" customWidth="1"/>
    <col min="2" max="2" width="14.453125" style="2" hidden="1" customWidth="1"/>
    <col min="3" max="3" width="10.7265625" style="125" customWidth="1"/>
    <col min="4" max="4" width="21.453125" style="19" customWidth="1"/>
    <col min="5" max="5" width="25.7265625" style="126" customWidth="1"/>
    <col min="6" max="6" width="10.7265625" style="19" customWidth="1"/>
    <col min="7" max="7" width="15.1796875" style="288" customWidth="1"/>
    <col min="8" max="8" width="18.54296875" style="277" customWidth="1"/>
    <col min="9" max="9" width="17" style="9" customWidth="1"/>
    <col min="10" max="10" width="14.7265625" style="330" customWidth="1"/>
    <col min="11" max="238" width="9.1796875" style="9"/>
    <col min="239" max="239" width="7.453125" style="9" customWidth="1"/>
    <col min="240" max="240" width="29.453125" style="9" customWidth="1"/>
    <col min="241" max="241" width="17.81640625" style="9" customWidth="1"/>
    <col min="242" max="242" width="16.7265625" style="9" customWidth="1"/>
    <col min="243" max="246" width="10.7265625" style="9" customWidth="1"/>
    <col min="247" max="247" width="12.7265625" style="9" customWidth="1"/>
    <col min="248" max="248" width="12.1796875" style="9" customWidth="1"/>
    <col min="249" max="250" width="10.7265625" style="9" customWidth="1"/>
    <col min="251" max="251" width="12.7265625" style="9" customWidth="1"/>
    <col min="252" max="252" width="10.7265625" style="9" customWidth="1"/>
    <col min="253" max="253" width="13.54296875" style="9" customWidth="1"/>
    <col min="254" max="254" width="10.7265625" style="9" customWidth="1"/>
    <col min="255" max="255" width="12" style="9" customWidth="1"/>
    <col min="256" max="259" width="9.1796875" style="9"/>
    <col min="260" max="261" width="10.7265625" style="9" customWidth="1"/>
    <col min="262" max="494" width="9.1796875" style="9"/>
    <col min="495" max="495" width="7.453125" style="9" customWidth="1"/>
    <col min="496" max="496" width="29.453125" style="9" customWidth="1"/>
    <col min="497" max="497" width="17.81640625" style="9" customWidth="1"/>
    <col min="498" max="498" width="16.7265625" style="9" customWidth="1"/>
    <col min="499" max="502" width="10.7265625" style="9" customWidth="1"/>
    <col min="503" max="503" width="12.7265625" style="9" customWidth="1"/>
    <col min="504" max="504" width="12.1796875" style="9" customWidth="1"/>
    <col min="505" max="506" width="10.7265625" style="9" customWidth="1"/>
    <col min="507" max="507" width="12.7265625" style="9" customWidth="1"/>
    <col min="508" max="508" width="10.7265625" style="9" customWidth="1"/>
    <col min="509" max="509" width="13.54296875" style="9" customWidth="1"/>
    <col min="510" max="510" width="10.7265625" style="9" customWidth="1"/>
    <col min="511" max="511" width="12" style="9" customWidth="1"/>
    <col min="512" max="515" width="9.1796875" style="9"/>
    <col min="516" max="517" width="10.7265625" style="9" customWidth="1"/>
    <col min="518" max="750" width="9.1796875" style="9"/>
    <col min="751" max="751" width="7.453125" style="9" customWidth="1"/>
    <col min="752" max="752" width="29.453125" style="9" customWidth="1"/>
    <col min="753" max="753" width="17.81640625" style="9" customWidth="1"/>
    <col min="754" max="754" width="16.7265625" style="9" customWidth="1"/>
    <col min="755" max="758" width="10.7265625" style="9" customWidth="1"/>
    <col min="759" max="759" width="12.7265625" style="9" customWidth="1"/>
    <col min="760" max="760" width="12.1796875" style="9" customWidth="1"/>
    <col min="761" max="762" width="10.7265625" style="9" customWidth="1"/>
    <col min="763" max="763" width="12.7265625" style="9" customWidth="1"/>
    <col min="764" max="764" width="10.7265625" style="9" customWidth="1"/>
    <col min="765" max="765" width="13.54296875" style="9" customWidth="1"/>
    <col min="766" max="766" width="10.7265625" style="9" customWidth="1"/>
    <col min="767" max="767" width="12" style="9" customWidth="1"/>
    <col min="768" max="771" width="9.1796875" style="9"/>
    <col min="772" max="773" width="10.7265625" style="9" customWidth="1"/>
    <col min="774" max="1006" width="9.1796875" style="9"/>
    <col min="1007" max="1007" width="7.453125" style="9" customWidth="1"/>
    <col min="1008" max="1008" width="29.453125" style="9" customWidth="1"/>
    <col min="1009" max="1009" width="17.81640625" style="9" customWidth="1"/>
    <col min="1010" max="1010" width="16.7265625" style="9" customWidth="1"/>
    <col min="1011" max="1014" width="10.7265625" style="9" customWidth="1"/>
    <col min="1015" max="1015" width="12.7265625" style="9" customWidth="1"/>
    <col min="1016" max="1016" width="12.1796875" style="9" customWidth="1"/>
    <col min="1017" max="1018" width="10.7265625" style="9" customWidth="1"/>
    <col min="1019" max="1019" width="12.7265625" style="9" customWidth="1"/>
    <col min="1020" max="1020" width="10.7265625" style="9" customWidth="1"/>
    <col min="1021" max="1021" width="13.54296875" style="9" customWidth="1"/>
    <col min="1022" max="1022" width="10.7265625" style="9" customWidth="1"/>
    <col min="1023" max="1023" width="12" style="9" customWidth="1"/>
    <col min="1024" max="1027" width="9.1796875" style="9"/>
    <col min="1028" max="1029" width="10.7265625" style="9" customWidth="1"/>
    <col min="1030" max="1262" width="9.1796875" style="9"/>
    <col min="1263" max="1263" width="7.453125" style="9" customWidth="1"/>
    <col min="1264" max="1264" width="29.453125" style="9" customWidth="1"/>
    <col min="1265" max="1265" width="17.81640625" style="9" customWidth="1"/>
    <col min="1266" max="1266" width="16.7265625" style="9" customWidth="1"/>
    <col min="1267" max="1270" width="10.7265625" style="9" customWidth="1"/>
    <col min="1271" max="1271" width="12.7265625" style="9" customWidth="1"/>
    <col min="1272" max="1272" width="12.1796875" style="9" customWidth="1"/>
    <col min="1273" max="1274" width="10.7265625" style="9" customWidth="1"/>
    <col min="1275" max="1275" width="12.7265625" style="9" customWidth="1"/>
    <col min="1276" max="1276" width="10.7265625" style="9" customWidth="1"/>
    <col min="1277" max="1277" width="13.54296875" style="9" customWidth="1"/>
    <col min="1278" max="1278" width="10.7265625" style="9" customWidth="1"/>
    <col min="1279" max="1279" width="12" style="9" customWidth="1"/>
    <col min="1280" max="1283" width="9.1796875" style="9"/>
    <col min="1284" max="1285" width="10.7265625" style="9" customWidth="1"/>
    <col min="1286" max="1518" width="9.1796875" style="9"/>
    <col min="1519" max="1519" width="7.453125" style="9" customWidth="1"/>
    <col min="1520" max="1520" width="29.453125" style="9" customWidth="1"/>
    <col min="1521" max="1521" width="17.81640625" style="9" customWidth="1"/>
    <col min="1522" max="1522" width="16.7265625" style="9" customWidth="1"/>
    <col min="1523" max="1526" width="10.7265625" style="9" customWidth="1"/>
    <col min="1527" max="1527" width="12.7265625" style="9" customWidth="1"/>
    <col min="1528" max="1528" width="12.1796875" style="9" customWidth="1"/>
    <col min="1529" max="1530" width="10.7265625" style="9" customWidth="1"/>
    <col min="1531" max="1531" width="12.7265625" style="9" customWidth="1"/>
    <col min="1532" max="1532" width="10.7265625" style="9" customWidth="1"/>
    <col min="1533" max="1533" width="13.54296875" style="9" customWidth="1"/>
    <col min="1534" max="1534" width="10.7265625" style="9" customWidth="1"/>
    <col min="1535" max="1535" width="12" style="9" customWidth="1"/>
    <col min="1536" max="1539" width="9.1796875" style="9"/>
    <col min="1540" max="1541" width="10.7265625" style="9" customWidth="1"/>
    <col min="1542" max="1774" width="9.1796875" style="9"/>
    <col min="1775" max="1775" width="7.453125" style="9" customWidth="1"/>
    <col min="1776" max="1776" width="29.453125" style="9" customWidth="1"/>
    <col min="1777" max="1777" width="17.81640625" style="9" customWidth="1"/>
    <col min="1778" max="1778" width="16.7265625" style="9" customWidth="1"/>
    <col min="1779" max="1782" width="10.7265625" style="9" customWidth="1"/>
    <col min="1783" max="1783" width="12.7265625" style="9" customWidth="1"/>
    <col min="1784" max="1784" width="12.1796875" style="9" customWidth="1"/>
    <col min="1785" max="1786" width="10.7265625" style="9" customWidth="1"/>
    <col min="1787" max="1787" width="12.7265625" style="9" customWidth="1"/>
    <col min="1788" max="1788" width="10.7265625" style="9" customWidth="1"/>
    <col min="1789" max="1789" width="13.54296875" style="9" customWidth="1"/>
    <col min="1790" max="1790" width="10.7265625" style="9" customWidth="1"/>
    <col min="1791" max="1791" width="12" style="9" customWidth="1"/>
    <col min="1792" max="1795" width="9.1796875" style="9"/>
    <col min="1796" max="1797" width="10.7265625" style="9" customWidth="1"/>
    <col min="1798" max="2030" width="9.1796875" style="9"/>
    <col min="2031" max="2031" width="7.453125" style="9" customWidth="1"/>
    <col min="2032" max="2032" width="29.453125" style="9" customWidth="1"/>
    <col min="2033" max="2033" width="17.81640625" style="9" customWidth="1"/>
    <col min="2034" max="2034" width="16.7265625" style="9" customWidth="1"/>
    <col min="2035" max="2038" width="10.7265625" style="9" customWidth="1"/>
    <col min="2039" max="2039" width="12.7265625" style="9" customWidth="1"/>
    <col min="2040" max="2040" width="12.1796875" style="9" customWidth="1"/>
    <col min="2041" max="2042" width="10.7265625" style="9" customWidth="1"/>
    <col min="2043" max="2043" width="12.7265625" style="9" customWidth="1"/>
    <col min="2044" max="2044" width="10.7265625" style="9" customWidth="1"/>
    <col min="2045" max="2045" width="13.54296875" style="9" customWidth="1"/>
    <col min="2046" max="2046" width="10.7265625" style="9" customWidth="1"/>
    <col min="2047" max="2047" width="12" style="9" customWidth="1"/>
    <col min="2048" max="2051" width="9.1796875" style="9"/>
    <col min="2052" max="2053" width="10.7265625" style="9" customWidth="1"/>
    <col min="2054" max="2286" width="9.1796875" style="9"/>
    <col min="2287" max="2287" width="7.453125" style="9" customWidth="1"/>
    <col min="2288" max="2288" width="29.453125" style="9" customWidth="1"/>
    <col min="2289" max="2289" width="17.81640625" style="9" customWidth="1"/>
    <col min="2290" max="2290" width="16.7265625" style="9" customWidth="1"/>
    <col min="2291" max="2294" width="10.7265625" style="9" customWidth="1"/>
    <col min="2295" max="2295" width="12.7265625" style="9" customWidth="1"/>
    <col min="2296" max="2296" width="12.1796875" style="9" customWidth="1"/>
    <col min="2297" max="2298" width="10.7265625" style="9" customWidth="1"/>
    <col min="2299" max="2299" width="12.7265625" style="9" customWidth="1"/>
    <col min="2300" max="2300" width="10.7265625" style="9" customWidth="1"/>
    <col min="2301" max="2301" width="13.54296875" style="9" customWidth="1"/>
    <col min="2302" max="2302" width="10.7265625" style="9" customWidth="1"/>
    <col min="2303" max="2303" width="12" style="9" customWidth="1"/>
    <col min="2304" max="2307" width="9.1796875" style="9"/>
    <col min="2308" max="2309" width="10.7265625" style="9" customWidth="1"/>
    <col min="2310" max="2542" width="9.1796875" style="9"/>
    <col min="2543" max="2543" width="7.453125" style="9" customWidth="1"/>
    <col min="2544" max="2544" width="29.453125" style="9" customWidth="1"/>
    <col min="2545" max="2545" width="17.81640625" style="9" customWidth="1"/>
    <col min="2546" max="2546" width="16.7265625" style="9" customWidth="1"/>
    <col min="2547" max="2550" width="10.7265625" style="9" customWidth="1"/>
    <col min="2551" max="2551" width="12.7265625" style="9" customWidth="1"/>
    <col min="2552" max="2552" width="12.1796875" style="9" customWidth="1"/>
    <col min="2553" max="2554" width="10.7265625" style="9" customWidth="1"/>
    <col min="2555" max="2555" width="12.7265625" style="9" customWidth="1"/>
    <col min="2556" max="2556" width="10.7265625" style="9" customWidth="1"/>
    <col min="2557" max="2557" width="13.54296875" style="9" customWidth="1"/>
    <col min="2558" max="2558" width="10.7265625" style="9" customWidth="1"/>
    <col min="2559" max="2559" width="12" style="9" customWidth="1"/>
    <col min="2560" max="2563" width="9.1796875" style="9"/>
    <col min="2564" max="2565" width="10.7265625" style="9" customWidth="1"/>
    <col min="2566" max="2798" width="9.1796875" style="9"/>
    <col min="2799" max="2799" width="7.453125" style="9" customWidth="1"/>
    <col min="2800" max="2800" width="29.453125" style="9" customWidth="1"/>
    <col min="2801" max="2801" width="17.81640625" style="9" customWidth="1"/>
    <col min="2802" max="2802" width="16.7265625" style="9" customWidth="1"/>
    <col min="2803" max="2806" width="10.7265625" style="9" customWidth="1"/>
    <col min="2807" max="2807" width="12.7265625" style="9" customWidth="1"/>
    <col min="2808" max="2808" width="12.1796875" style="9" customWidth="1"/>
    <col min="2809" max="2810" width="10.7265625" style="9" customWidth="1"/>
    <col min="2811" max="2811" width="12.7265625" style="9" customWidth="1"/>
    <col min="2812" max="2812" width="10.7265625" style="9" customWidth="1"/>
    <col min="2813" max="2813" width="13.54296875" style="9" customWidth="1"/>
    <col min="2814" max="2814" width="10.7265625" style="9" customWidth="1"/>
    <col min="2815" max="2815" width="12" style="9" customWidth="1"/>
    <col min="2816" max="2819" width="9.1796875" style="9"/>
    <col min="2820" max="2821" width="10.7265625" style="9" customWidth="1"/>
    <col min="2822" max="3054" width="9.1796875" style="9"/>
    <col min="3055" max="3055" width="7.453125" style="9" customWidth="1"/>
    <col min="3056" max="3056" width="29.453125" style="9" customWidth="1"/>
    <col min="3057" max="3057" width="17.81640625" style="9" customWidth="1"/>
    <col min="3058" max="3058" width="16.7265625" style="9" customWidth="1"/>
    <col min="3059" max="3062" width="10.7265625" style="9" customWidth="1"/>
    <col min="3063" max="3063" width="12.7265625" style="9" customWidth="1"/>
    <col min="3064" max="3064" width="12.1796875" style="9" customWidth="1"/>
    <col min="3065" max="3066" width="10.7265625" style="9" customWidth="1"/>
    <col min="3067" max="3067" width="12.7265625" style="9" customWidth="1"/>
    <col min="3068" max="3068" width="10.7265625" style="9" customWidth="1"/>
    <col min="3069" max="3069" width="13.54296875" style="9" customWidth="1"/>
    <col min="3070" max="3070" width="10.7265625" style="9" customWidth="1"/>
    <col min="3071" max="3071" width="12" style="9" customWidth="1"/>
    <col min="3072" max="3075" width="9.1796875" style="9"/>
    <col min="3076" max="3077" width="10.7265625" style="9" customWidth="1"/>
    <col min="3078" max="3310" width="9.1796875" style="9"/>
    <col min="3311" max="3311" width="7.453125" style="9" customWidth="1"/>
    <col min="3312" max="3312" width="29.453125" style="9" customWidth="1"/>
    <col min="3313" max="3313" width="17.81640625" style="9" customWidth="1"/>
    <col min="3314" max="3314" width="16.7265625" style="9" customWidth="1"/>
    <col min="3315" max="3318" width="10.7265625" style="9" customWidth="1"/>
    <col min="3319" max="3319" width="12.7265625" style="9" customWidth="1"/>
    <col min="3320" max="3320" width="12.1796875" style="9" customWidth="1"/>
    <col min="3321" max="3322" width="10.7265625" style="9" customWidth="1"/>
    <col min="3323" max="3323" width="12.7265625" style="9" customWidth="1"/>
    <col min="3324" max="3324" width="10.7265625" style="9" customWidth="1"/>
    <col min="3325" max="3325" width="13.54296875" style="9" customWidth="1"/>
    <col min="3326" max="3326" width="10.7265625" style="9" customWidth="1"/>
    <col min="3327" max="3327" width="12" style="9" customWidth="1"/>
    <col min="3328" max="3331" width="9.1796875" style="9"/>
    <col min="3332" max="3333" width="10.7265625" style="9" customWidth="1"/>
    <col min="3334" max="3566" width="9.1796875" style="9"/>
    <col min="3567" max="3567" width="7.453125" style="9" customWidth="1"/>
    <col min="3568" max="3568" width="29.453125" style="9" customWidth="1"/>
    <col min="3569" max="3569" width="17.81640625" style="9" customWidth="1"/>
    <col min="3570" max="3570" width="16.7265625" style="9" customWidth="1"/>
    <col min="3571" max="3574" width="10.7265625" style="9" customWidth="1"/>
    <col min="3575" max="3575" width="12.7265625" style="9" customWidth="1"/>
    <col min="3576" max="3576" width="12.1796875" style="9" customWidth="1"/>
    <col min="3577" max="3578" width="10.7265625" style="9" customWidth="1"/>
    <col min="3579" max="3579" width="12.7265625" style="9" customWidth="1"/>
    <col min="3580" max="3580" width="10.7265625" style="9" customWidth="1"/>
    <col min="3581" max="3581" width="13.54296875" style="9" customWidth="1"/>
    <col min="3582" max="3582" width="10.7265625" style="9" customWidth="1"/>
    <col min="3583" max="3583" width="12" style="9" customWidth="1"/>
    <col min="3584" max="3587" width="9.1796875" style="9"/>
    <col min="3588" max="3589" width="10.7265625" style="9" customWidth="1"/>
    <col min="3590" max="3822" width="9.1796875" style="9"/>
    <col min="3823" max="3823" width="7.453125" style="9" customWidth="1"/>
    <col min="3824" max="3824" width="29.453125" style="9" customWidth="1"/>
    <col min="3825" max="3825" width="17.81640625" style="9" customWidth="1"/>
    <col min="3826" max="3826" width="16.7265625" style="9" customWidth="1"/>
    <col min="3827" max="3830" width="10.7265625" style="9" customWidth="1"/>
    <col min="3831" max="3831" width="12.7265625" style="9" customWidth="1"/>
    <col min="3832" max="3832" width="12.1796875" style="9" customWidth="1"/>
    <col min="3833" max="3834" width="10.7265625" style="9" customWidth="1"/>
    <col min="3835" max="3835" width="12.7265625" style="9" customWidth="1"/>
    <col min="3836" max="3836" width="10.7265625" style="9" customWidth="1"/>
    <col min="3837" max="3837" width="13.54296875" style="9" customWidth="1"/>
    <col min="3838" max="3838" width="10.7265625" style="9" customWidth="1"/>
    <col min="3839" max="3839" width="12" style="9" customWidth="1"/>
    <col min="3840" max="3843" width="9.1796875" style="9"/>
    <col min="3844" max="3845" width="10.7265625" style="9" customWidth="1"/>
    <col min="3846" max="4078" width="9.1796875" style="9"/>
    <col min="4079" max="4079" width="7.453125" style="9" customWidth="1"/>
    <col min="4080" max="4080" width="29.453125" style="9" customWidth="1"/>
    <col min="4081" max="4081" width="17.81640625" style="9" customWidth="1"/>
    <col min="4082" max="4082" width="16.7265625" style="9" customWidth="1"/>
    <col min="4083" max="4086" width="10.7265625" style="9" customWidth="1"/>
    <col min="4087" max="4087" width="12.7265625" style="9" customWidth="1"/>
    <col min="4088" max="4088" width="12.1796875" style="9" customWidth="1"/>
    <col min="4089" max="4090" width="10.7265625" style="9" customWidth="1"/>
    <col min="4091" max="4091" width="12.7265625" style="9" customWidth="1"/>
    <col min="4092" max="4092" width="10.7265625" style="9" customWidth="1"/>
    <col min="4093" max="4093" width="13.54296875" style="9" customWidth="1"/>
    <col min="4094" max="4094" width="10.7265625" style="9" customWidth="1"/>
    <col min="4095" max="4095" width="12" style="9" customWidth="1"/>
    <col min="4096" max="4099" width="9.1796875" style="9"/>
    <col min="4100" max="4101" width="10.7265625" style="9" customWidth="1"/>
    <col min="4102" max="4334" width="9.1796875" style="9"/>
    <col min="4335" max="4335" width="7.453125" style="9" customWidth="1"/>
    <col min="4336" max="4336" width="29.453125" style="9" customWidth="1"/>
    <col min="4337" max="4337" width="17.81640625" style="9" customWidth="1"/>
    <col min="4338" max="4338" width="16.7265625" style="9" customWidth="1"/>
    <col min="4339" max="4342" width="10.7265625" style="9" customWidth="1"/>
    <col min="4343" max="4343" width="12.7265625" style="9" customWidth="1"/>
    <col min="4344" max="4344" width="12.1796875" style="9" customWidth="1"/>
    <col min="4345" max="4346" width="10.7265625" style="9" customWidth="1"/>
    <col min="4347" max="4347" width="12.7265625" style="9" customWidth="1"/>
    <col min="4348" max="4348" width="10.7265625" style="9" customWidth="1"/>
    <col min="4349" max="4349" width="13.54296875" style="9" customWidth="1"/>
    <col min="4350" max="4350" width="10.7265625" style="9" customWidth="1"/>
    <col min="4351" max="4351" width="12" style="9" customWidth="1"/>
    <col min="4352" max="4355" width="9.1796875" style="9"/>
    <col min="4356" max="4357" width="10.7265625" style="9" customWidth="1"/>
    <col min="4358" max="4590" width="9.1796875" style="9"/>
    <col min="4591" max="4591" width="7.453125" style="9" customWidth="1"/>
    <col min="4592" max="4592" width="29.453125" style="9" customWidth="1"/>
    <col min="4593" max="4593" width="17.81640625" style="9" customWidth="1"/>
    <col min="4594" max="4594" width="16.7265625" style="9" customWidth="1"/>
    <col min="4595" max="4598" width="10.7265625" style="9" customWidth="1"/>
    <col min="4599" max="4599" width="12.7265625" style="9" customWidth="1"/>
    <col min="4600" max="4600" width="12.1796875" style="9" customWidth="1"/>
    <col min="4601" max="4602" width="10.7265625" style="9" customWidth="1"/>
    <col min="4603" max="4603" width="12.7265625" style="9" customWidth="1"/>
    <col min="4604" max="4604" width="10.7265625" style="9" customWidth="1"/>
    <col min="4605" max="4605" width="13.54296875" style="9" customWidth="1"/>
    <col min="4606" max="4606" width="10.7265625" style="9" customWidth="1"/>
    <col min="4607" max="4607" width="12" style="9" customWidth="1"/>
    <col min="4608" max="4611" width="9.1796875" style="9"/>
    <col min="4612" max="4613" width="10.7265625" style="9" customWidth="1"/>
    <col min="4614" max="4846" width="9.1796875" style="9"/>
    <col min="4847" max="4847" width="7.453125" style="9" customWidth="1"/>
    <col min="4848" max="4848" width="29.453125" style="9" customWidth="1"/>
    <col min="4849" max="4849" width="17.81640625" style="9" customWidth="1"/>
    <col min="4850" max="4850" width="16.7265625" style="9" customWidth="1"/>
    <col min="4851" max="4854" width="10.7265625" style="9" customWidth="1"/>
    <col min="4855" max="4855" width="12.7265625" style="9" customWidth="1"/>
    <col min="4856" max="4856" width="12.1796875" style="9" customWidth="1"/>
    <col min="4857" max="4858" width="10.7265625" style="9" customWidth="1"/>
    <col min="4859" max="4859" width="12.7265625" style="9" customWidth="1"/>
    <col min="4860" max="4860" width="10.7265625" style="9" customWidth="1"/>
    <col min="4861" max="4861" width="13.54296875" style="9" customWidth="1"/>
    <col min="4862" max="4862" width="10.7265625" style="9" customWidth="1"/>
    <col min="4863" max="4863" width="12" style="9" customWidth="1"/>
    <col min="4864" max="4867" width="9.1796875" style="9"/>
    <col min="4868" max="4869" width="10.7265625" style="9" customWidth="1"/>
    <col min="4870" max="5102" width="9.1796875" style="9"/>
    <col min="5103" max="5103" width="7.453125" style="9" customWidth="1"/>
    <col min="5104" max="5104" width="29.453125" style="9" customWidth="1"/>
    <col min="5105" max="5105" width="17.81640625" style="9" customWidth="1"/>
    <col min="5106" max="5106" width="16.7265625" style="9" customWidth="1"/>
    <col min="5107" max="5110" width="10.7265625" style="9" customWidth="1"/>
    <col min="5111" max="5111" width="12.7265625" style="9" customWidth="1"/>
    <col min="5112" max="5112" width="12.1796875" style="9" customWidth="1"/>
    <col min="5113" max="5114" width="10.7265625" style="9" customWidth="1"/>
    <col min="5115" max="5115" width="12.7265625" style="9" customWidth="1"/>
    <col min="5116" max="5116" width="10.7265625" style="9" customWidth="1"/>
    <col min="5117" max="5117" width="13.54296875" style="9" customWidth="1"/>
    <col min="5118" max="5118" width="10.7265625" style="9" customWidth="1"/>
    <col min="5119" max="5119" width="12" style="9" customWidth="1"/>
    <col min="5120" max="5123" width="9.1796875" style="9"/>
    <col min="5124" max="5125" width="10.7265625" style="9" customWidth="1"/>
    <col min="5126" max="5358" width="9.1796875" style="9"/>
    <col min="5359" max="5359" width="7.453125" style="9" customWidth="1"/>
    <col min="5360" max="5360" width="29.453125" style="9" customWidth="1"/>
    <col min="5361" max="5361" width="17.81640625" style="9" customWidth="1"/>
    <col min="5362" max="5362" width="16.7265625" style="9" customWidth="1"/>
    <col min="5363" max="5366" width="10.7265625" style="9" customWidth="1"/>
    <col min="5367" max="5367" width="12.7265625" style="9" customWidth="1"/>
    <col min="5368" max="5368" width="12.1796875" style="9" customWidth="1"/>
    <col min="5369" max="5370" width="10.7265625" style="9" customWidth="1"/>
    <col min="5371" max="5371" width="12.7265625" style="9" customWidth="1"/>
    <col min="5372" max="5372" width="10.7265625" style="9" customWidth="1"/>
    <col min="5373" max="5373" width="13.54296875" style="9" customWidth="1"/>
    <col min="5374" max="5374" width="10.7265625" style="9" customWidth="1"/>
    <col min="5375" max="5375" width="12" style="9" customWidth="1"/>
    <col min="5376" max="5379" width="9.1796875" style="9"/>
    <col min="5380" max="5381" width="10.7265625" style="9" customWidth="1"/>
    <col min="5382" max="5614" width="9.1796875" style="9"/>
    <col min="5615" max="5615" width="7.453125" style="9" customWidth="1"/>
    <col min="5616" max="5616" width="29.453125" style="9" customWidth="1"/>
    <col min="5617" max="5617" width="17.81640625" style="9" customWidth="1"/>
    <col min="5618" max="5618" width="16.7265625" style="9" customWidth="1"/>
    <col min="5619" max="5622" width="10.7265625" style="9" customWidth="1"/>
    <col min="5623" max="5623" width="12.7265625" style="9" customWidth="1"/>
    <col min="5624" max="5624" width="12.1796875" style="9" customWidth="1"/>
    <col min="5625" max="5626" width="10.7265625" style="9" customWidth="1"/>
    <col min="5627" max="5627" width="12.7265625" style="9" customWidth="1"/>
    <col min="5628" max="5628" width="10.7265625" style="9" customWidth="1"/>
    <col min="5629" max="5629" width="13.54296875" style="9" customWidth="1"/>
    <col min="5630" max="5630" width="10.7265625" style="9" customWidth="1"/>
    <col min="5631" max="5631" width="12" style="9" customWidth="1"/>
    <col min="5632" max="5635" width="9.1796875" style="9"/>
    <col min="5636" max="5637" width="10.7265625" style="9" customWidth="1"/>
    <col min="5638" max="5870" width="9.1796875" style="9"/>
    <col min="5871" max="5871" width="7.453125" style="9" customWidth="1"/>
    <col min="5872" max="5872" width="29.453125" style="9" customWidth="1"/>
    <col min="5873" max="5873" width="17.81640625" style="9" customWidth="1"/>
    <col min="5874" max="5874" width="16.7265625" style="9" customWidth="1"/>
    <col min="5875" max="5878" width="10.7265625" style="9" customWidth="1"/>
    <col min="5879" max="5879" width="12.7265625" style="9" customWidth="1"/>
    <col min="5880" max="5880" width="12.1796875" style="9" customWidth="1"/>
    <col min="5881" max="5882" width="10.7265625" style="9" customWidth="1"/>
    <col min="5883" max="5883" width="12.7265625" style="9" customWidth="1"/>
    <col min="5884" max="5884" width="10.7265625" style="9" customWidth="1"/>
    <col min="5885" max="5885" width="13.54296875" style="9" customWidth="1"/>
    <col min="5886" max="5886" width="10.7265625" style="9" customWidth="1"/>
    <col min="5887" max="5887" width="12" style="9" customWidth="1"/>
    <col min="5888" max="5891" width="9.1796875" style="9"/>
    <col min="5892" max="5893" width="10.7265625" style="9" customWidth="1"/>
    <col min="5894" max="6126" width="9.1796875" style="9"/>
    <col min="6127" max="6127" width="7.453125" style="9" customWidth="1"/>
    <col min="6128" max="6128" width="29.453125" style="9" customWidth="1"/>
    <col min="6129" max="6129" width="17.81640625" style="9" customWidth="1"/>
    <col min="6130" max="6130" width="16.7265625" style="9" customWidth="1"/>
    <col min="6131" max="6134" width="10.7265625" style="9" customWidth="1"/>
    <col min="6135" max="6135" width="12.7265625" style="9" customWidth="1"/>
    <col min="6136" max="6136" width="12.1796875" style="9" customWidth="1"/>
    <col min="6137" max="6138" width="10.7265625" style="9" customWidth="1"/>
    <col min="6139" max="6139" width="12.7265625" style="9" customWidth="1"/>
    <col min="6140" max="6140" width="10.7265625" style="9" customWidth="1"/>
    <col min="6141" max="6141" width="13.54296875" style="9" customWidth="1"/>
    <col min="6142" max="6142" width="10.7265625" style="9" customWidth="1"/>
    <col min="6143" max="6143" width="12" style="9" customWidth="1"/>
    <col min="6144" max="6147" width="9.1796875" style="9"/>
    <col min="6148" max="6149" width="10.7265625" style="9" customWidth="1"/>
    <col min="6150" max="6382" width="9.1796875" style="9"/>
    <col min="6383" max="6383" width="7.453125" style="9" customWidth="1"/>
    <col min="6384" max="6384" width="29.453125" style="9" customWidth="1"/>
    <col min="6385" max="6385" width="17.81640625" style="9" customWidth="1"/>
    <col min="6386" max="6386" width="16.7265625" style="9" customWidth="1"/>
    <col min="6387" max="6390" width="10.7265625" style="9" customWidth="1"/>
    <col min="6391" max="6391" width="12.7265625" style="9" customWidth="1"/>
    <col min="6392" max="6392" width="12.1796875" style="9" customWidth="1"/>
    <col min="6393" max="6394" width="10.7265625" style="9" customWidth="1"/>
    <col min="6395" max="6395" width="12.7265625" style="9" customWidth="1"/>
    <col min="6396" max="6396" width="10.7265625" style="9" customWidth="1"/>
    <col min="6397" max="6397" width="13.54296875" style="9" customWidth="1"/>
    <col min="6398" max="6398" width="10.7265625" style="9" customWidth="1"/>
    <col min="6399" max="6399" width="12" style="9" customWidth="1"/>
    <col min="6400" max="6403" width="9.1796875" style="9"/>
    <col min="6404" max="6405" width="10.7265625" style="9" customWidth="1"/>
    <col min="6406" max="6638" width="9.1796875" style="9"/>
    <col min="6639" max="6639" width="7.453125" style="9" customWidth="1"/>
    <col min="6640" max="6640" width="29.453125" style="9" customWidth="1"/>
    <col min="6641" max="6641" width="17.81640625" style="9" customWidth="1"/>
    <col min="6642" max="6642" width="16.7265625" style="9" customWidth="1"/>
    <col min="6643" max="6646" width="10.7265625" style="9" customWidth="1"/>
    <col min="6647" max="6647" width="12.7265625" style="9" customWidth="1"/>
    <col min="6648" max="6648" width="12.1796875" style="9" customWidth="1"/>
    <col min="6649" max="6650" width="10.7265625" style="9" customWidth="1"/>
    <col min="6651" max="6651" width="12.7265625" style="9" customWidth="1"/>
    <col min="6652" max="6652" width="10.7265625" style="9" customWidth="1"/>
    <col min="6653" max="6653" width="13.54296875" style="9" customWidth="1"/>
    <col min="6654" max="6654" width="10.7265625" style="9" customWidth="1"/>
    <col min="6655" max="6655" width="12" style="9" customWidth="1"/>
    <col min="6656" max="6659" width="9.1796875" style="9"/>
    <col min="6660" max="6661" width="10.7265625" style="9" customWidth="1"/>
    <col min="6662" max="6894" width="9.1796875" style="9"/>
    <col min="6895" max="6895" width="7.453125" style="9" customWidth="1"/>
    <col min="6896" max="6896" width="29.453125" style="9" customWidth="1"/>
    <col min="6897" max="6897" width="17.81640625" style="9" customWidth="1"/>
    <col min="6898" max="6898" width="16.7265625" style="9" customWidth="1"/>
    <col min="6899" max="6902" width="10.7265625" style="9" customWidth="1"/>
    <col min="6903" max="6903" width="12.7265625" style="9" customWidth="1"/>
    <col min="6904" max="6904" width="12.1796875" style="9" customWidth="1"/>
    <col min="6905" max="6906" width="10.7265625" style="9" customWidth="1"/>
    <col min="6907" max="6907" width="12.7265625" style="9" customWidth="1"/>
    <col min="6908" max="6908" width="10.7265625" style="9" customWidth="1"/>
    <col min="6909" max="6909" width="13.54296875" style="9" customWidth="1"/>
    <col min="6910" max="6910" width="10.7265625" style="9" customWidth="1"/>
    <col min="6911" max="6911" width="12" style="9" customWidth="1"/>
    <col min="6912" max="6915" width="9.1796875" style="9"/>
    <col min="6916" max="6917" width="10.7265625" style="9" customWidth="1"/>
    <col min="6918" max="7150" width="9.1796875" style="9"/>
    <col min="7151" max="7151" width="7.453125" style="9" customWidth="1"/>
    <col min="7152" max="7152" width="29.453125" style="9" customWidth="1"/>
    <col min="7153" max="7153" width="17.81640625" style="9" customWidth="1"/>
    <col min="7154" max="7154" width="16.7265625" style="9" customWidth="1"/>
    <col min="7155" max="7158" width="10.7265625" style="9" customWidth="1"/>
    <col min="7159" max="7159" width="12.7265625" style="9" customWidth="1"/>
    <col min="7160" max="7160" width="12.1796875" style="9" customWidth="1"/>
    <col min="7161" max="7162" width="10.7265625" style="9" customWidth="1"/>
    <col min="7163" max="7163" width="12.7265625" style="9" customWidth="1"/>
    <col min="7164" max="7164" width="10.7265625" style="9" customWidth="1"/>
    <col min="7165" max="7165" width="13.54296875" style="9" customWidth="1"/>
    <col min="7166" max="7166" width="10.7265625" style="9" customWidth="1"/>
    <col min="7167" max="7167" width="12" style="9" customWidth="1"/>
    <col min="7168" max="7171" width="9.1796875" style="9"/>
    <col min="7172" max="7173" width="10.7265625" style="9" customWidth="1"/>
    <col min="7174" max="7406" width="9.1796875" style="9"/>
    <col min="7407" max="7407" width="7.453125" style="9" customWidth="1"/>
    <col min="7408" max="7408" width="29.453125" style="9" customWidth="1"/>
    <col min="7409" max="7409" width="17.81640625" style="9" customWidth="1"/>
    <col min="7410" max="7410" width="16.7265625" style="9" customWidth="1"/>
    <col min="7411" max="7414" width="10.7265625" style="9" customWidth="1"/>
    <col min="7415" max="7415" width="12.7265625" style="9" customWidth="1"/>
    <col min="7416" max="7416" width="12.1796875" style="9" customWidth="1"/>
    <col min="7417" max="7418" width="10.7265625" style="9" customWidth="1"/>
    <col min="7419" max="7419" width="12.7265625" style="9" customWidth="1"/>
    <col min="7420" max="7420" width="10.7265625" style="9" customWidth="1"/>
    <col min="7421" max="7421" width="13.54296875" style="9" customWidth="1"/>
    <col min="7422" max="7422" width="10.7265625" style="9" customWidth="1"/>
    <col min="7423" max="7423" width="12" style="9" customWidth="1"/>
    <col min="7424" max="7427" width="9.1796875" style="9"/>
    <col min="7428" max="7429" width="10.7265625" style="9" customWidth="1"/>
    <col min="7430" max="7662" width="9.1796875" style="9"/>
    <col min="7663" max="7663" width="7.453125" style="9" customWidth="1"/>
    <col min="7664" max="7664" width="29.453125" style="9" customWidth="1"/>
    <col min="7665" max="7665" width="17.81640625" style="9" customWidth="1"/>
    <col min="7666" max="7666" width="16.7265625" style="9" customWidth="1"/>
    <col min="7667" max="7670" width="10.7265625" style="9" customWidth="1"/>
    <col min="7671" max="7671" width="12.7265625" style="9" customWidth="1"/>
    <col min="7672" max="7672" width="12.1796875" style="9" customWidth="1"/>
    <col min="7673" max="7674" width="10.7265625" style="9" customWidth="1"/>
    <col min="7675" max="7675" width="12.7265625" style="9" customWidth="1"/>
    <col min="7676" max="7676" width="10.7265625" style="9" customWidth="1"/>
    <col min="7677" max="7677" width="13.54296875" style="9" customWidth="1"/>
    <col min="7678" max="7678" width="10.7265625" style="9" customWidth="1"/>
    <col min="7679" max="7679" width="12" style="9" customWidth="1"/>
    <col min="7680" max="7683" width="9.1796875" style="9"/>
    <col min="7684" max="7685" width="10.7265625" style="9" customWidth="1"/>
    <col min="7686" max="7918" width="9.1796875" style="9"/>
    <col min="7919" max="7919" width="7.453125" style="9" customWidth="1"/>
    <col min="7920" max="7920" width="29.453125" style="9" customWidth="1"/>
    <col min="7921" max="7921" width="17.81640625" style="9" customWidth="1"/>
    <col min="7922" max="7922" width="16.7265625" style="9" customWidth="1"/>
    <col min="7923" max="7926" width="10.7265625" style="9" customWidth="1"/>
    <col min="7927" max="7927" width="12.7265625" style="9" customWidth="1"/>
    <col min="7928" max="7928" width="12.1796875" style="9" customWidth="1"/>
    <col min="7929" max="7930" width="10.7265625" style="9" customWidth="1"/>
    <col min="7931" max="7931" width="12.7265625" style="9" customWidth="1"/>
    <col min="7932" max="7932" width="10.7265625" style="9" customWidth="1"/>
    <col min="7933" max="7933" width="13.54296875" style="9" customWidth="1"/>
    <col min="7934" max="7934" width="10.7265625" style="9" customWidth="1"/>
    <col min="7935" max="7935" width="12" style="9" customWidth="1"/>
    <col min="7936" max="7939" width="9.1796875" style="9"/>
    <col min="7940" max="7941" width="10.7265625" style="9" customWidth="1"/>
    <col min="7942" max="8174" width="9.1796875" style="9"/>
    <col min="8175" max="8175" width="7.453125" style="9" customWidth="1"/>
    <col min="8176" max="8176" width="29.453125" style="9" customWidth="1"/>
    <col min="8177" max="8177" width="17.81640625" style="9" customWidth="1"/>
    <col min="8178" max="8178" width="16.7265625" style="9" customWidth="1"/>
    <col min="8179" max="8182" width="10.7265625" style="9" customWidth="1"/>
    <col min="8183" max="8183" width="12.7265625" style="9" customWidth="1"/>
    <col min="8184" max="8184" width="12.1796875" style="9" customWidth="1"/>
    <col min="8185" max="8186" width="10.7265625" style="9" customWidth="1"/>
    <col min="8187" max="8187" width="12.7265625" style="9" customWidth="1"/>
    <col min="8188" max="8188" width="10.7265625" style="9" customWidth="1"/>
    <col min="8189" max="8189" width="13.54296875" style="9" customWidth="1"/>
    <col min="8190" max="8190" width="10.7265625" style="9" customWidth="1"/>
    <col min="8191" max="8191" width="12" style="9" customWidth="1"/>
    <col min="8192" max="8195" width="9.1796875" style="9"/>
    <col min="8196" max="8197" width="10.7265625" style="9" customWidth="1"/>
    <col min="8198" max="8430" width="9.1796875" style="9"/>
    <col min="8431" max="8431" width="7.453125" style="9" customWidth="1"/>
    <col min="8432" max="8432" width="29.453125" style="9" customWidth="1"/>
    <col min="8433" max="8433" width="17.81640625" style="9" customWidth="1"/>
    <col min="8434" max="8434" width="16.7265625" style="9" customWidth="1"/>
    <col min="8435" max="8438" width="10.7265625" style="9" customWidth="1"/>
    <col min="8439" max="8439" width="12.7265625" style="9" customWidth="1"/>
    <col min="8440" max="8440" width="12.1796875" style="9" customWidth="1"/>
    <col min="8441" max="8442" width="10.7265625" style="9" customWidth="1"/>
    <col min="8443" max="8443" width="12.7265625" style="9" customWidth="1"/>
    <col min="8444" max="8444" width="10.7265625" style="9" customWidth="1"/>
    <col min="8445" max="8445" width="13.54296875" style="9" customWidth="1"/>
    <col min="8446" max="8446" width="10.7265625" style="9" customWidth="1"/>
    <col min="8447" max="8447" width="12" style="9" customWidth="1"/>
    <col min="8448" max="8451" width="9.1796875" style="9"/>
    <col min="8452" max="8453" width="10.7265625" style="9" customWidth="1"/>
    <col min="8454" max="8686" width="9.1796875" style="9"/>
    <col min="8687" max="8687" width="7.453125" style="9" customWidth="1"/>
    <col min="8688" max="8688" width="29.453125" style="9" customWidth="1"/>
    <col min="8689" max="8689" width="17.81640625" style="9" customWidth="1"/>
    <col min="8690" max="8690" width="16.7265625" style="9" customWidth="1"/>
    <col min="8691" max="8694" width="10.7265625" style="9" customWidth="1"/>
    <col min="8695" max="8695" width="12.7265625" style="9" customWidth="1"/>
    <col min="8696" max="8696" width="12.1796875" style="9" customWidth="1"/>
    <col min="8697" max="8698" width="10.7265625" style="9" customWidth="1"/>
    <col min="8699" max="8699" width="12.7265625" style="9" customWidth="1"/>
    <col min="8700" max="8700" width="10.7265625" style="9" customWidth="1"/>
    <col min="8701" max="8701" width="13.54296875" style="9" customWidth="1"/>
    <col min="8702" max="8702" width="10.7265625" style="9" customWidth="1"/>
    <col min="8703" max="8703" width="12" style="9" customWidth="1"/>
    <col min="8704" max="8707" width="9.1796875" style="9"/>
    <col min="8708" max="8709" width="10.7265625" style="9" customWidth="1"/>
    <col min="8710" max="8942" width="9.1796875" style="9"/>
    <col min="8943" max="8943" width="7.453125" style="9" customWidth="1"/>
    <col min="8944" max="8944" width="29.453125" style="9" customWidth="1"/>
    <col min="8945" max="8945" width="17.81640625" style="9" customWidth="1"/>
    <col min="8946" max="8946" width="16.7265625" style="9" customWidth="1"/>
    <col min="8947" max="8950" width="10.7265625" style="9" customWidth="1"/>
    <col min="8951" max="8951" width="12.7265625" style="9" customWidth="1"/>
    <col min="8952" max="8952" width="12.1796875" style="9" customWidth="1"/>
    <col min="8953" max="8954" width="10.7265625" style="9" customWidth="1"/>
    <col min="8955" max="8955" width="12.7265625" style="9" customWidth="1"/>
    <col min="8956" max="8956" width="10.7265625" style="9" customWidth="1"/>
    <col min="8957" max="8957" width="13.54296875" style="9" customWidth="1"/>
    <col min="8958" max="8958" width="10.7265625" style="9" customWidth="1"/>
    <col min="8959" max="8959" width="12" style="9" customWidth="1"/>
    <col min="8960" max="8963" width="9.1796875" style="9"/>
    <col min="8964" max="8965" width="10.7265625" style="9" customWidth="1"/>
    <col min="8966" max="9198" width="9.1796875" style="9"/>
    <col min="9199" max="9199" width="7.453125" style="9" customWidth="1"/>
    <col min="9200" max="9200" width="29.453125" style="9" customWidth="1"/>
    <col min="9201" max="9201" width="17.81640625" style="9" customWidth="1"/>
    <col min="9202" max="9202" width="16.7265625" style="9" customWidth="1"/>
    <col min="9203" max="9206" width="10.7265625" style="9" customWidth="1"/>
    <col min="9207" max="9207" width="12.7265625" style="9" customWidth="1"/>
    <col min="9208" max="9208" width="12.1796875" style="9" customWidth="1"/>
    <col min="9209" max="9210" width="10.7265625" style="9" customWidth="1"/>
    <col min="9211" max="9211" width="12.7265625" style="9" customWidth="1"/>
    <col min="9212" max="9212" width="10.7265625" style="9" customWidth="1"/>
    <col min="9213" max="9213" width="13.54296875" style="9" customWidth="1"/>
    <col min="9214" max="9214" width="10.7265625" style="9" customWidth="1"/>
    <col min="9215" max="9215" width="12" style="9" customWidth="1"/>
    <col min="9216" max="9219" width="9.1796875" style="9"/>
    <col min="9220" max="9221" width="10.7265625" style="9" customWidth="1"/>
    <col min="9222" max="9454" width="9.1796875" style="9"/>
    <col min="9455" max="9455" width="7.453125" style="9" customWidth="1"/>
    <col min="9456" max="9456" width="29.453125" style="9" customWidth="1"/>
    <col min="9457" max="9457" width="17.81640625" style="9" customWidth="1"/>
    <col min="9458" max="9458" width="16.7265625" style="9" customWidth="1"/>
    <col min="9459" max="9462" width="10.7265625" style="9" customWidth="1"/>
    <col min="9463" max="9463" width="12.7265625" style="9" customWidth="1"/>
    <col min="9464" max="9464" width="12.1796875" style="9" customWidth="1"/>
    <col min="9465" max="9466" width="10.7265625" style="9" customWidth="1"/>
    <col min="9467" max="9467" width="12.7265625" style="9" customWidth="1"/>
    <col min="9468" max="9468" width="10.7265625" style="9" customWidth="1"/>
    <col min="9469" max="9469" width="13.54296875" style="9" customWidth="1"/>
    <col min="9470" max="9470" width="10.7265625" style="9" customWidth="1"/>
    <col min="9471" max="9471" width="12" style="9" customWidth="1"/>
    <col min="9472" max="9475" width="9.1796875" style="9"/>
    <col min="9476" max="9477" width="10.7265625" style="9" customWidth="1"/>
    <col min="9478" max="9710" width="9.1796875" style="9"/>
    <col min="9711" max="9711" width="7.453125" style="9" customWidth="1"/>
    <col min="9712" max="9712" width="29.453125" style="9" customWidth="1"/>
    <col min="9713" max="9713" width="17.81640625" style="9" customWidth="1"/>
    <col min="9714" max="9714" width="16.7265625" style="9" customWidth="1"/>
    <col min="9715" max="9718" width="10.7265625" style="9" customWidth="1"/>
    <col min="9719" max="9719" width="12.7265625" style="9" customWidth="1"/>
    <col min="9720" max="9720" width="12.1796875" style="9" customWidth="1"/>
    <col min="9721" max="9722" width="10.7265625" style="9" customWidth="1"/>
    <col min="9723" max="9723" width="12.7265625" style="9" customWidth="1"/>
    <col min="9724" max="9724" width="10.7265625" style="9" customWidth="1"/>
    <col min="9725" max="9725" width="13.54296875" style="9" customWidth="1"/>
    <col min="9726" max="9726" width="10.7265625" style="9" customWidth="1"/>
    <col min="9727" max="9727" width="12" style="9" customWidth="1"/>
    <col min="9728" max="9731" width="9.1796875" style="9"/>
    <col min="9732" max="9733" width="10.7265625" style="9" customWidth="1"/>
    <col min="9734" max="9966" width="9.1796875" style="9"/>
    <col min="9967" max="9967" width="7.453125" style="9" customWidth="1"/>
    <col min="9968" max="9968" width="29.453125" style="9" customWidth="1"/>
    <col min="9969" max="9969" width="17.81640625" style="9" customWidth="1"/>
    <col min="9970" max="9970" width="16.7265625" style="9" customWidth="1"/>
    <col min="9971" max="9974" width="10.7265625" style="9" customWidth="1"/>
    <col min="9975" max="9975" width="12.7265625" style="9" customWidth="1"/>
    <col min="9976" max="9976" width="12.1796875" style="9" customWidth="1"/>
    <col min="9977" max="9978" width="10.7265625" style="9" customWidth="1"/>
    <col min="9979" max="9979" width="12.7265625" style="9" customWidth="1"/>
    <col min="9980" max="9980" width="10.7265625" style="9" customWidth="1"/>
    <col min="9981" max="9981" width="13.54296875" style="9" customWidth="1"/>
    <col min="9982" max="9982" width="10.7265625" style="9" customWidth="1"/>
    <col min="9983" max="9983" width="12" style="9" customWidth="1"/>
    <col min="9984" max="9987" width="9.1796875" style="9"/>
    <col min="9988" max="9989" width="10.7265625" style="9" customWidth="1"/>
    <col min="9990" max="10222" width="9.1796875" style="9"/>
    <col min="10223" max="10223" width="7.453125" style="9" customWidth="1"/>
    <col min="10224" max="10224" width="29.453125" style="9" customWidth="1"/>
    <col min="10225" max="10225" width="17.81640625" style="9" customWidth="1"/>
    <col min="10226" max="10226" width="16.7265625" style="9" customWidth="1"/>
    <col min="10227" max="10230" width="10.7265625" style="9" customWidth="1"/>
    <col min="10231" max="10231" width="12.7265625" style="9" customWidth="1"/>
    <col min="10232" max="10232" width="12.1796875" style="9" customWidth="1"/>
    <col min="10233" max="10234" width="10.7265625" style="9" customWidth="1"/>
    <col min="10235" max="10235" width="12.7265625" style="9" customWidth="1"/>
    <col min="10236" max="10236" width="10.7265625" style="9" customWidth="1"/>
    <col min="10237" max="10237" width="13.54296875" style="9" customWidth="1"/>
    <col min="10238" max="10238" width="10.7265625" style="9" customWidth="1"/>
    <col min="10239" max="10239" width="12" style="9" customWidth="1"/>
    <col min="10240" max="10243" width="9.1796875" style="9"/>
    <col min="10244" max="10245" width="10.7265625" style="9" customWidth="1"/>
    <col min="10246" max="10478" width="9.1796875" style="9"/>
    <col min="10479" max="10479" width="7.453125" style="9" customWidth="1"/>
    <col min="10480" max="10480" width="29.453125" style="9" customWidth="1"/>
    <col min="10481" max="10481" width="17.81640625" style="9" customWidth="1"/>
    <col min="10482" max="10482" width="16.7265625" style="9" customWidth="1"/>
    <col min="10483" max="10486" width="10.7265625" style="9" customWidth="1"/>
    <col min="10487" max="10487" width="12.7265625" style="9" customWidth="1"/>
    <col min="10488" max="10488" width="12.1796875" style="9" customWidth="1"/>
    <col min="10489" max="10490" width="10.7265625" style="9" customWidth="1"/>
    <col min="10491" max="10491" width="12.7265625" style="9" customWidth="1"/>
    <col min="10492" max="10492" width="10.7265625" style="9" customWidth="1"/>
    <col min="10493" max="10493" width="13.54296875" style="9" customWidth="1"/>
    <col min="10494" max="10494" width="10.7265625" style="9" customWidth="1"/>
    <col min="10495" max="10495" width="12" style="9" customWidth="1"/>
    <col min="10496" max="10499" width="9.1796875" style="9"/>
    <col min="10500" max="10501" width="10.7265625" style="9" customWidth="1"/>
    <col min="10502" max="10734" width="9.1796875" style="9"/>
    <col min="10735" max="10735" width="7.453125" style="9" customWidth="1"/>
    <col min="10736" max="10736" width="29.453125" style="9" customWidth="1"/>
    <col min="10737" max="10737" width="17.81640625" style="9" customWidth="1"/>
    <col min="10738" max="10738" width="16.7265625" style="9" customWidth="1"/>
    <col min="10739" max="10742" width="10.7265625" style="9" customWidth="1"/>
    <col min="10743" max="10743" width="12.7265625" style="9" customWidth="1"/>
    <col min="10744" max="10744" width="12.1796875" style="9" customWidth="1"/>
    <col min="10745" max="10746" width="10.7265625" style="9" customWidth="1"/>
    <col min="10747" max="10747" width="12.7265625" style="9" customWidth="1"/>
    <col min="10748" max="10748" width="10.7265625" style="9" customWidth="1"/>
    <col min="10749" max="10749" width="13.54296875" style="9" customWidth="1"/>
    <col min="10750" max="10750" width="10.7265625" style="9" customWidth="1"/>
    <col min="10751" max="10751" width="12" style="9" customWidth="1"/>
    <col min="10752" max="10755" width="9.1796875" style="9"/>
    <col min="10756" max="10757" width="10.7265625" style="9" customWidth="1"/>
    <col min="10758" max="10990" width="9.1796875" style="9"/>
    <col min="10991" max="10991" width="7.453125" style="9" customWidth="1"/>
    <col min="10992" max="10992" width="29.453125" style="9" customWidth="1"/>
    <col min="10993" max="10993" width="17.81640625" style="9" customWidth="1"/>
    <col min="10994" max="10994" width="16.7265625" style="9" customWidth="1"/>
    <col min="10995" max="10998" width="10.7265625" style="9" customWidth="1"/>
    <col min="10999" max="10999" width="12.7265625" style="9" customWidth="1"/>
    <col min="11000" max="11000" width="12.1796875" style="9" customWidth="1"/>
    <col min="11001" max="11002" width="10.7265625" style="9" customWidth="1"/>
    <col min="11003" max="11003" width="12.7265625" style="9" customWidth="1"/>
    <col min="11004" max="11004" width="10.7265625" style="9" customWidth="1"/>
    <col min="11005" max="11005" width="13.54296875" style="9" customWidth="1"/>
    <col min="11006" max="11006" width="10.7265625" style="9" customWidth="1"/>
    <col min="11007" max="11007" width="12" style="9" customWidth="1"/>
    <col min="11008" max="11011" width="9.1796875" style="9"/>
    <col min="11012" max="11013" width="10.7265625" style="9" customWidth="1"/>
    <col min="11014" max="11246" width="9.1796875" style="9"/>
    <col min="11247" max="11247" width="7.453125" style="9" customWidth="1"/>
    <col min="11248" max="11248" width="29.453125" style="9" customWidth="1"/>
    <col min="11249" max="11249" width="17.81640625" style="9" customWidth="1"/>
    <col min="11250" max="11250" width="16.7265625" style="9" customWidth="1"/>
    <col min="11251" max="11254" width="10.7265625" style="9" customWidth="1"/>
    <col min="11255" max="11255" width="12.7265625" style="9" customWidth="1"/>
    <col min="11256" max="11256" width="12.1796875" style="9" customWidth="1"/>
    <col min="11257" max="11258" width="10.7265625" style="9" customWidth="1"/>
    <col min="11259" max="11259" width="12.7265625" style="9" customWidth="1"/>
    <col min="11260" max="11260" width="10.7265625" style="9" customWidth="1"/>
    <col min="11261" max="11261" width="13.54296875" style="9" customWidth="1"/>
    <col min="11262" max="11262" width="10.7265625" style="9" customWidth="1"/>
    <col min="11263" max="11263" width="12" style="9" customWidth="1"/>
    <col min="11264" max="11267" width="9.1796875" style="9"/>
    <col min="11268" max="11269" width="10.7265625" style="9" customWidth="1"/>
    <col min="11270" max="11502" width="9.1796875" style="9"/>
    <col min="11503" max="11503" width="7.453125" style="9" customWidth="1"/>
    <col min="11504" max="11504" width="29.453125" style="9" customWidth="1"/>
    <col min="11505" max="11505" width="17.81640625" style="9" customWidth="1"/>
    <col min="11506" max="11506" width="16.7265625" style="9" customWidth="1"/>
    <col min="11507" max="11510" width="10.7265625" style="9" customWidth="1"/>
    <col min="11511" max="11511" width="12.7265625" style="9" customWidth="1"/>
    <col min="11512" max="11512" width="12.1796875" style="9" customWidth="1"/>
    <col min="11513" max="11514" width="10.7265625" style="9" customWidth="1"/>
    <col min="11515" max="11515" width="12.7265625" style="9" customWidth="1"/>
    <col min="11516" max="11516" width="10.7265625" style="9" customWidth="1"/>
    <col min="11517" max="11517" width="13.54296875" style="9" customWidth="1"/>
    <col min="11518" max="11518" width="10.7265625" style="9" customWidth="1"/>
    <col min="11519" max="11519" width="12" style="9" customWidth="1"/>
    <col min="11520" max="11523" width="9.1796875" style="9"/>
    <col min="11524" max="11525" width="10.7265625" style="9" customWidth="1"/>
    <col min="11526" max="11758" width="9.1796875" style="9"/>
    <col min="11759" max="11759" width="7.453125" style="9" customWidth="1"/>
    <col min="11760" max="11760" width="29.453125" style="9" customWidth="1"/>
    <col min="11761" max="11761" width="17.81640625" style="9" customWidth="1"/>
    <col min="11762" max="11762" width="16.7265625" style="9" customWidth="1"/>
    <col min="11763" max="11766" width="10.7265625" style="9" customWidth="1"/>
    <col min="11767" max="11767" width="12.7265625" style="9" customWidth="1"/>
    <col min="11768" max="11768" width="12.1796875" style="9" customWidth="1"/>
    <col min="11769" max="11770" width="10.7265625" style="9" customWidth="1"/>
    <col min="11771" max="11771" width="12.7265625" style="9" customWidth="1"/>
    <col min="11772" max="11772" width="10.7265625" style="9" customWidth="1"/>
    <col min="11773" max="11773" width="13.54296875" style="9" customWidth="1"/>
    <col min="11774" max="11774" width="10.7265625" style="9" customWidth="1"/>
    <col min="11775" max="11775" width="12" style="9" customWidth="1"/>
    <col min="11776" max="11779" width="9.1796875" style="9"/>
    <col min="11780" max="11781" width="10.7265625" style="9" customWidth="1"/>
    <col min="11782" max="12014" width="9.1796875" style="9"/>
    <col min="12015" max="12015" width="7.453125" style="9" customWidth="1"/>
    <col min="12016" max="12016" width="29.453125" style="9" customWidth="1"/>
    <col min="12017" max="12017" width="17.81640625" style="9" customWidth="1"/>
    <col min="12018" max="12018" width="16.7265625" style="9" customWidth="1"/>
    <col min="12019" max="12022" width="10.7265625" style="9" customWidth="1"/>
    <col min="12023" max="12023" width="12.7265625" style="9" customWidth="1"/>
    <col min="12024" max="12024" width="12.1796875" style="9" customWidth="1"/>
    <col min="12025" max="12026" width="10.7265625" style="9" customWidth="1"/>
    <col min="12027" max="12027" width="12.7265625" style="9" customWidth="1"/>
    <col min="12028" max="12028" width="10.7265625" style="9" customWidth="1"/>
    <col min="12029" max="12029" width="13.54296875" style="9" customWidth="1"/>
    <col min="12030" max="12030" width="10.7265625" style="9" customWidth="1"/>
    <col min="12031" max="12031" width="12" style="9" customWidth="1"/>
    <col min="12032" max="12035" width="9.1796875" style="9"/>
    <col min="12036" max="12037" width="10.7265625" style="9" customWidth="1"/>
    <col min="12038" max="12270" width="9.1796875" style="9"/>
    <col min="12271" max="12271" width="7.453125" style="9" customWidth="1"/>
    <col min="12272" max="12272" width="29.453125" style="9" customWidth="1"/>
    <col min="12273" max="12273" width="17.81640625" style="9" customWidth="1"/>
    <col min="12274" max="12274" width="16.7265625" style="9" customWidth="1"/>
    <col min="12275" max="12278" width="10.7265625" style="9" customWidth="1"/>
    <col min="12279" max="12279" width="12.7265625" style="9" customWidth="1"/>
    <col min="12280" max="12280" width="12.1796875" style="9" customWidth="1"/>
    <col min="12281" max="12282" width="10.7265625" style="9" customWidth="1"/>
    <col min="12283" max="12283" width="12.7265625" style="9" customWidth="1"/>
    <col min="12284" max="12284" width="10.7265625" style="9" customWidth="1"/>
    <col min="12285" max="12285" width="13.54296875" style="9" customWidth="1"/>
    <col min="12286" max="12286" width="10.7265625" style="9" customWidth="1"/>
    <col min="12287" max="12287" width="12" style="9" customWidth="1"/>
    <col min="12288" max="12291" width="9.1796875" style="9"/>
    <col min="12292" max="12293" width="10.7265625" style="9" customWidth="1"/>
    <col min="12294" max="12526" width="9.1796875" style="9"/>
    <col min="12527" max="12527" width="7.453125" style="9" customWidth="1"/>
    <col min="12528" max="12528" width="29.453125" style="9" customWidth="1"/>
    <col min="12529" max="12529" width="17.81640625" style="9" customWidth="1"/>
    <col min="12530" max="12530" width="16.7265625" style="9" customWidth="1"/>
    <col min="12531" max="12534" width="10.7265625" style="9" customWidth="1"/>
    <col min="12535" max="12535" width="12.7265625" style="9" customWidth="1"/>
    <col min="12536" max="12536" width="12.1796875" style="9" customWidth="1"/>
    <col min="12537" max="12538" width="10.7265625" style="9" customWidth="1"/>
    <col min="12539" max="12539" width="12.7265625" style="9" customWidth="1"/>
    <col min="12540" max="12540" width="10.7265625" style="9" customWidth="1"/>
    <col min="12541" max="12541" width="13.54296875" style="9" customWidth="1"/>
    <col min="12542" max="12542" width="10.7265625" style="9" customWidth="1"/>
    <col min="12543" max="12543" width="12" style="9" customWidth="1"/>
    <col min="12544" max="12547" width="9.1796875" style="9"/>
    <col min="12548" max="12549" width="10.7265625" style="9" customWidth="1"/>
    <col min="12550" max="12782" width="9.1796875" style="9"/>
    <col min="12783" max="12783" width="7.453125" style="9" customWidth="1"/>
    <col min="12784" max="12784" width="29.453125" style="9" customWidth="1"/>
    <col min="12785" max="12785" width="17.81640625" style="9" customWidth="1"/>
    <col min="12786" max="12786" width="16.7265625" style="9" customWidth="1"/>
    <col min="12787" max="12790" width="10.7265625" style="9" customWidth="1"/>
    <col min="12791" max="12791" width="12.7265625" style="9" customWidth="1"/>
    <col min="12792" max="12792" width="12.1796875" style="9" customWidth="1"/>
    <col min="12793" max="12794" width="10.7265625" style="9" customWidth="1"/>
    <col min="12795" max="12795" width="12.7265625" style="9" customWidth="1"/>
    <col min="12796" max="12796" width="10.7265625" style="9" customWidth="1"/>
    <col min="12797" max="12797" width="13.54296875" style="9" customWidth="1"/>
    <col min="12798" max="12798" width="10.7265625" style="9" customWidth="1"/>
    <col min="12799" max="12799" width="12" style="9" customWidth="1"/>
    <col min="12800" max="12803" width="9.1796875" style="9"/>
    <col min="12804" max="12805" width="10.7265625" style="9" customWidth="1"/>
    <col min="12806" max="13038" width="9.1796875" style="9"/>
    <col min="13039" max="13039" width="7.453125" style="9" customWidth="1"/>
    <col min="13040" max="13040" width="29.453125" style="9" customWidth="1"/>
    <col min="13041" max="13041" width="17.81640625" style="9" customWidth="1"/>
    <col min="13042" max="13042" width="16.7265625" style="9" customWidth="1"/>
    <col min="13043" max="13046" width="10.7265625" style="9" customWidth="1"/>
    <col min="13047" max="13047" width="12.7265625" style="9" customWidth="1"/>
    <col min="13048" max="13048" width="12.1796875" style="9" customWidth="1"/>
    <col min="13049" max="13050" width="10.7265625" style="9" customWidth="1"/>
    <col min="13051" max="13051" width="12.7265625" style="9" customWidth="1"/>
    <col min="13052" max="13052" width="10.7265625" style="9" customWidth="1"/>
    <col min="13053" max="13053" width="13.54296875" style="9" customWidth="1"/>
    <col min="13054" max="13054" width="10.7265625" style="9" customWidth="1"/>
    <col min="13055" max="13055" width="12" style="9" customWidth="1"/>
    <col min="13056" max="13059" width="9.1796875" style="9"/>
    <col min="13060" max="13061" width="10.7265625" style="9" customWidth="1"/>
    <col min="13062" max="13294" width="9.1796875" style="9"/>
    <col min="13295" max="13295" width="7.453125" style="9" customWidth="1"/>
    <col min="13296" max="13296" width="29.453125" style="9" customWidth="1"/>
    <col min="13297" max="13297" width="17.81640625" style="9" customWidth="1"/>
    <col min="13298" max="13298" width="16.7265625" style="9" customWidth="1"/>
    <col min="13299" max="13302" width="10.7265625" style="9" customWidth="1"/>
    <col min="13303" max="13303" width="12.7265625" style="9" customWidth="1"/>
    <col min="13304" max="13304" width="12.1796875" style="9" customWidth="1"/>
    <col min="13305" max="13306" width="10.7265625" style="9" customWidth="1"/>
    <col min="13307" max="13307" width="12.7265625" style="9" customWidth="1"/>
    <col min="13308" max="13308" width="10.7265625" style="9" customWidth="1"/>
    <col min="13309" max="13309" width="13.54296875" style="9" customWidth="1"/>
    <col min="13310" max="13310" width="10.7265625" style="9" customWidth="1"/>
    <col min="13311" max="13311" width="12" style="9" customWidth="1"/>
    <col min="13312" max="13315" width="9.1796875" style="9"/>
    <col min="13316" max="13317" width="10.7265625" style="9" customWidth="1"/>
    <col min="13318" max="13550" width="9.1796875" style="9"/>
    <col min="13551" max="13551" width="7.453125" style="9" customWidth="1"/>
    <col min="13552" max="13552" width="29.453125" style="9" customWidth="1"/>
    <col min="13553" max="13553" width="17.81640625" style="9" customWidth="1"/>
    <col min="13554" max="13554" width="16.7265625" style="9" customWidth="1"/>
    <col min="13555" max="13558" width="10.7265625" style="9" customWidth="1"/>
    <col min="13559" max="13559" width="12.7265625" style="9" customWidth="1"/>
    <col min="13560" max="13560" width="12.1796875" style="9" customWidth="1"/>
    <col min="13561" max="13562" width="10.7265625" style="9" customWidth="1"/>
    <col min="13563" max="13563" width="12.7265625" style="9" customWidth="1"/>
    <col min="13564" max="13564" width="10.7265625" style="9" customWidth="1"/>
    <col min="13565" max="13565" width="13.54296875" style="9" customWidth="1"/>
    <col min="13566" max="13566" width="10.7265625" style="9" customWidth="1"/>
    <col min="13567" max="13567" width="12" style="9" customWidth="1"/>
    <col min="13568" max="13571" width="9.1796875" style="9"/>
    <col min="13572" max="13573" width="10.7265625" style="9" customWidth="1"/>
    <col min="13574" max="13806" width="9.1796875" style="9"/>
    <col min="13807" max="13807" width="7.453125" style="9" customWidth="1"/>
    <col min="13808" max="13808" width="29.453125" style="9" customWidth="1"/>
    <col min="13809" max="13809" width="17.81640625" style="9" customWidth="1"/>
    <col min="13810" max="13810" width="16.7265625" style="9" customWidth="1"/>
    <col min="13811" max="13814" width="10.7265625" style="9" customWidth="1"/>
    <col min="13815" max="13815" width="12.7265625" style="9" customWidth="1"/>
    <col min="13816" max="13816" width="12.1796875" style="9" customWidth="1"/>
    <col min="13817" max="13818" width="10.7265625" style="9" customWidth="1"/>
    <col min="13819" max="13819" width="12.7265625" style="9" customWidth="1"/>
    <col min="13820" max="13820" width="10.7265625" style="9" customWidth="1"/>
    <col min="13821" max="13821" width="13.54296875" style="9" customWidth="1"/>
    <col min="13822" max="13822" width="10.7265625" style="9" customWidth="1"/>
    <col min="13823" max="13823" width="12" style="9" customWidth="1"/>
    <col min="13824" max="13827" width="9.1796875" style="9"/>
    <col min="13828" max="13829" width="10.7265625" style="9" customWidth="1"/>
    <col min="13830" max="14062" width="9.1796875" style="9"/>
    <col min="14063" max="14063" width="7.453125" style="9" customWidth="1"/>
    <col min="14064" max="14064" width="29.453125" style="9" customWidth="1"/>
    <col min="14065" max="14065" width="17.81640625" style="9" customWidth="1"/>
    <col min="14066" max="14066" width="16.7265625" style="9" customWidth="1"/>
    <col min="14067" max="14070" width="10.7265625" style="9" customWidth="1"/>
    <col min="14071" max="14071" width="12.7265625" style="9" customWidth="1"/>
    <col min="14072" max="14072" width="12.1796875" style="9" customWidth="1"/>
    <col min="14073" max="14074" width="10.7265625" style="9" customWidth="1"/>
    <col min="14075" max="14075" width="12.7265625" style="9" customWidth="1"/>
    <col min="14076" max="14076" width="10.7265625" style="9" customWidth="1"/>
    <col min="14077" max="14077" width="13.54296875" style="9" customWidth="1"/>
    <col min="14078" max="14078" width="10.7265625" style="9" customWidth="1"/>
    <col min="14079" max="14079" width="12" style="9" customWidth="1"/>
    <col min="14080" max="14083" width="9.1796875" style="9"/>
    <col min="14084" max="14085" width="10.7265625" style="9" customWidth="1"/>
    <col min="14086" max="14318" width="9.1796875" style="9"/>
    <col min="14319" max="14319" width="7.453125" style="9" customWidth="1"/>
    <col min="14320" max="14320" width="29.453125" style="9" customWidth="1"/>
    <col min="14321" max="14321" width="17.81640625" style="9" customWidth="1"/>
    <col min="14322" max="14322" width="16.7265625" style="9" customWidth="1"/>
    <col min="14323" max="14326" width="10.7265625" style="9" customWidth="1"/>
    <col min="14327" max="14327" width="12.7265625" style="9" customWidth="1"/>
    <col min="14328" max="14328" width="12.1796875" style="9" customWidth="1"/>
    <col min="14329" max="14330" width="10.7265625" style="9" customWidth="1"/>
    <col min="14331" max="14331" width="12.7265625" style="9" customWidth="1"/>
    <col min="14332" max="14332" width="10.7265625" style="9" customWidth="1"/>
    <col min="14333" max="14333" width="13.54296875" style="9" customWidth="1"/>
    <col min="14334" max="14334" width="10.7265625" style="9" customWidth="1"/>
    <col min="14335" max="14335" width="12" style="9" customWidth="1"/>
    <col min="14336" max="14339" width="9.1796875" style="9"/>
    <col min="14340" max="14341" width="10.7265625" style="9" customWidth="1"/>
    <col min="14342" max="14574" width="9.1796875" style="9"/>
    <col min="14575" max="14575" width="7.453125" style="9" customWidth="1"/>
    <col min="14576" max="14576" width="29.453125" style="9" customWidth="1"/>
    <col min="14577" max="14577" width="17.81640625" style="9" customWidth="1"/>
    <col min="14578" max="14578" width="16.7265625" style="9" customWidth="1"/>
    <col min="14579" max="14582" width="10.7265625" style="9" customWidth="1"/>
    <col min="14583" max="14583" width="12.7265625" style="9" customWidth="1"/>
    <col min="14584" max="14584" width="12.1796875" style="9" customWidth="1"/>
    <col min="14585" max="14586" width="10.7265625" style="9" customWidth="1"/>
    <col min="14587" max="14587" width="12.7265625" style="9" customWidth="1"/>
    <col min="14588" max="14588" width="10.7265625" style="9" customWidth="1"/>
    <col min="14589" max="14589" width="13.54296875" style="9" customWidth="1"/>
    <col min="14590" max="14590" width="10.7265625" style="9" customWidth="1"/>
    <col min="14591" max="14591" width="12" style="9" customWidth="1"/>
    <col min="14592" max="14595" width="9.1796875" style="9"/>
    <col min="14596" max="14597" width="10.7265625" style="9" customWidth="1"/>
    <col min="14598" max="14830" width="9.1796875" style="9"/>
    <col min="14831" max="14831" width="7.453125" style="9" customWidth="1"/>
    <col min="14832" max="14832" width="29.453125" style="9" customWidth="1"/>
    <col min="14833" max="14833" width="17.81640625" style="9" customWidth="1"/>
    <col min="14834" max="14834" width="16.7265625" style="9" customWidth="1"/>
    <col min="14835" max="14838" width="10.7265625" style="9" customWidth="1"/>
    <col min="14839" max="14839" width="12.7265625" style="9" customWidth="1"/>
    <col min="14840" max="14840" width="12.1796875" style="9" customWidth="1"/>
    <col min="14841" max="14842" width="10.7265625" style="9" customWidth="1"/>
    <col min="14843" max="14843" width="12.7265625" style="9" customWidth="1"/>
    <col min="14844" max="14844" width="10.7265625" style="9" customWidth="1"/>
    <col min="14845" max="14845" width="13.54296875" style="9" customWidth="1"/>
    <col min="14846" max="14846" width="10.7265625" style="9" customWidth="1"/>
    <col min="14847" max="14847" width="12" style="9" customWidth="1"/>
    <col min="14848" max="14851" width="9.1796875" style="9"/>
    <col min="14852" max="14853" width="10.7265625" style="9" customWidth="1"/>
    <col min="14854" max="15086" width="9.1796875" style="9"/>
    <col min="15087" max="15087" width="7.453125" style="9" customWidth="1"/>
    <col min="15088" max="15088" width="29.453125" style="9" customWidth="1"/>
    <col min="15089" max="15089" width="17.81640625" style="9" customWidth="1"/>
    <col min="15090" max="15090" width="16.7265625" style="9" customWidth="1"/>
    <col min="15091" max="15094" width="10.7265625" style="9" customWidth="1"/>
    <col min="15095" max="15095" width="12.7265625" style="9" customWidth="1"/>
    <col min="15096" max="15096" width="12.1796875" style="9" customWidth="1"/>
    <col min="15097" max="15098" width="10.7265625" style="9" customWidth="1"/>
    <col min="15099" max="15099" width="12.7265625" style="9" customWidth="1"/>
    <col min="15100" max="15100" width="10.7265625" style="9" customWidth="1"/>
    <col min="15101" max="15101" width="13.54296875" style="9" customWidth="1"/>
    <col min="15102" max="15102" width="10.7265625" style="9" customWidth="1"/>
    <col min="15103" max="15103" width="12" style="9" customWidth="1"/>
    <col min="15104" max="15107" width="9.1796875" style="9"/>
    <col min="15108" max="15109" width="10.7265625" style="9" customWidth="1"/>
    <col min="15110" max="15342" width="9.1796875" style="9"/>
    <col min="15343" max="15343" width="7.453125" style="9" customWidth="1"/>
    <col min="15344" max="15344" width="29.453125" style="9" customWidth="1"/>
    <col min="15345" max="15345" width="17.81640625" style="9" customWidth="1"/>
    <col min="15346" max="15346" width="16.7265625" style="9" customWidth="1"/>
    <col min="15347" max="15350" width="10.7265625" style="9" customWidth="1"/>
    <col min="15351" max="15351" width="12.7265625" style="9" customWidth="1"/>
    <col min="15352" max="15352" width="12.1796875" style="9" customWidth="1"/>
    <col min="15353" max="15354" width="10.7265625" style="9" customWidth="1"/>
    <col min="15355" max="15355" width="12.7265625" style="9" customWidth="1"/>
    <col min="15356" max="15356" width="10.7265625" style="9" customWidth="1"/>
    <col min="15357" max="15357" width="13.54296875" style="9" customWidth="1"/>
    <col min="15358" max="15358" width="10.7265625" style="9" customWidth="1"/>
    <col min="15359" max="15359" width="12" style="9" customWidth="1"/>
    <col min="15360" max="15363" width="9.1796875" style="9"/>
    <col min="15364" max="15365" width="10.7265625" style="9" customWidth="1"/>
    <col min="15366" max="15598" width="9.1796875" style="9"/>
    <col min="15599" max="15599" width="7.453125" style="9" customWidth="1"/>
    <col min="15600" max="15600" width="29.453125" style="9" customWidth="1"/>
    <col min="15601" max="15601" width="17.81640625" style="9" customWidth="1"/>
    <col min="15602" max="15602" width="16.7265625" style="9" customWidth="1"/>
    <col min="15603" max="15606" width="10.7265625" style="9" customWidth="1"/>
    <col min="15607" max="15607" width="12.7265625" style="9" customWidth="1"/>
    <col min="15608" max="15608" width="12.1796875" style="9" customWidth="1"/>
    <col min="15609" max="15610" width="10.7265625" style="9" customWidth="1"/>
    <col min="15611" max="15611" width="12.7265625" style="9" customWidth="1"/>
    <col min="15612" max="15612" width="10.7265625" style="9" customWidth="1"/>
    <col min="15613" max="15613" width="13.54296875" style="9" customWidth="1"/>
    <col min="15614" max="15614" width="10.7265625" style="9" customWidth="1"/>
    <col min="15615" max="15615" width="12" style="9" customWidth="1"/>
    <col min="15616" max="15619" width="9.1796875" style="9"/>
    <col min="15620" max="15621" width="10.7265625" style="9" customWidth="1"/>
    <col min="15622" max="15854" width="9.1796875" style="9"/>
    <col min="15855" max="15855" width="7.453125" style="9" customWidth="1"/>
    <col min="15856" max="15856" width="29.453125" style="9" customWidth="1"/>
    <col min="15857" max="15857" width="17.81640625" style="9" customWidth="1"/>
    <col min="15858" max="15858" width="16.7265625" style="9" customWidth="1"/>
    <col min="15859" max="15862" width="10.7265625" style="9" customWidth="1"/>
    <col min="15863" max="15863" width="12.7265625" style="9" customWidth="1"/>
    <col min="15864" max="15864" width="12.1796875" style="9" customWidth="1"/>
    <col min="15865" max="15866" width="10.7265625" style="9" customWidth="1"/>
    <col min="15867" max="15867" width="12.7265625" style="9" customWidth="1"/>
    <col min="15868" max="15868" width="10.7265625" style="9" customWidth="1"/>
    <col min="15869" max="15869" width="13.54296875" style="9" customWidth="1"/>
    <col min="15870" max="15870" width="10.7265625" style="9" customWidth="1"/>
    <col min="15871" max="15871" width="12" style="9" customWidth="1"/>
    <col min="15872" max="15875" width="9.1796875" style="9"/>
    <col min="15876" max="15877" width="10.7265625" style="9" customWidth="1"/>
    <col min="15878" max="16110" width="9.1796875" style="9"/>
    <col min="16111" max="16111" width="7.453125" style="9" customWidth="1"/>
    <col min="16112" max="16112" width="29.453125" style="9" customWidth="1"/>
    <col min="16113" max="16113" width="17.81640625" style="9" customWidth="1"/>
    <col min="16114" max="16114" width="16.7265625" style="9" customWidth="1"/>
    <col min="16115" max="16118" width="10.7265625" style="9" customWidth="1"/>
    <col min="16119" max="16119" width="12.7265625" style="9" customWidth="1"/>
    <col min="16120" max="16120" width="12.1796875" style="9" customWidth="1"/>
    <col min="16121" max="16122" width="10.7265625" style="9" customWidth="1"/>
    <col min="16123" max="16123" width="12.7265625" style="9" customWidth="1"/>
    <col min="16124" max="16124" width="10.7265625" style="9" customWidth="1"/>
    <col min="16125" max="16125" width="13.54296875" style="9" customWidth="1"/>
    <col min="16126" max="16126" width="10.7265625" style="9" customWidth="1"/>
    <col min="16127" max="16127" width="12" style="9" customWidth="1"/>
    <col min="16128" max="16131" width="9.1796875" style="9"/>
    <col min="16132" max="16133" width="10.7265625" style="9" customWidth="1"/>
    <col min="16134" max="16384" width="9.1796875" style="9"/>
  </cols>
  <sheetData>
    <row r="1" spans="1:10" ht="20.5" thickBot="1" x14ac:dyDescent="0.4">
      <c r="C1" s="3"/>
      <c r="D1" s="4"/>
      <c r="E1" s="5"/>
      <c r="F1" s="6"/>
      <c r="G1" s="279"/>
      <c r="H1" s="262"/>
    </row>
    <row r="2" spans="1:10" s="18" customFormat="1" ht="25.5" customHeight="1" thickTop="1" thickBot="1" x14ac:dyDescent="0.4">
      <c r="A2" s="11"/>
      <c r="B2" s="12"/>
      <c r="C2" s="13" t="s">
        <v>0</v>
      </c>
      <c r="D2" s="14" t="s">
        <v>1</v>
      </c>
      <c r="E2" s="15" t="s">
        <v>2</v>
      </c>
      <c r="F2" s="14" t="s">
        <v>3</v>
      </c>
      <c r="G2" s="280" t="s">
        <v>515</v>
      </c>
      <c r="H2" s="263" t="s">
        <v>516</v>
      </c>
      <c r="I2" s="203" t="s">
        <v>493</v>
      </c>
      <c r="J2" s="330"/>
    </row>
    <row r="3" spans="1:10" s="18" customFormat="1" ht="10" customHeight="1" thickTop="1" x14ac:dyDescent="0.35">
      <c r="A3" s="11"/>
      <c r="B3" s="235"/>
      <c r="C3" s="242"/>
      <c r="D3" s="243"/>
      <c r="E3" s="244"/>
      <c r="F3" s="243"/>
      <c r="G3" s="246"/>
      <c r="H3" s="264"/>
      <c r="I3" s="249"/>
      <c r="J3" s="330"/>
    </row>
    <row r="4" spans="1:10" x14ac:dyDescent="0.35">
      <c r="A4" s="1">
        <v>1</v>
      </c>
      <c r="B4" s="26" t="s">
        <v>4</v>
      </c>
      <c r="C4" s="27" t="s">
        <v>5</v>
      </c>
      <c r="D4" s="28" t="s">
        <v>6</v>
      </c>
      <c r="E4" s="29">
        <v>9111045374085</v>
      </c>
      <c r="F4" s="30">
        <v>2323969</v>
      </c>
      <c r="G4" s="281" t="s">
        <v>526</v>
      </c>
      <c r="H4" s="265"/>
      <c r="I4" s="204" t="s">
        <v>494</v>
      </c>
    </row>
    <row r="5" spans="1:10" x14ac:dyDescent="0.35">
      <c r="A5" s="1">
        <v>2</v>
      </c>
      <c r="B5" s="35" t="s">
        <v>7</v>
      </c>
      <c r="C5" s="36" t="s">
        <v>8</v>
      </c>
      <c r="D5" s="37" t="s">
        <v>9</v>
      </c>
      <c r="E5" s="38">
        <v>7004026418082</v>
      </c>
      <c r="F5" s="39">
        <v>1066576</v>
      </c>
      <c r="G5" s="282" t="s">
        <v>153</v>
      </c>
      <c r="H5" s="266" t="s">
        <v>569</v>
      </c>
      <c r="I5" s="205" t="s">
        <v>495</v>
      </c>
    </row>
    <row r="6" spans="1:10" x14ac:dyDescent="0.35">
      <c r="A6" s="1">
        <v>3</v>
      </c>
      <c r="B6" s="35" t="s">
        <v>10</v>
      </c>
      <c r="C6" s="36" t="s">
        <v>11</v>
      </c>
      <c r="D6" s="58" t="s">
        <v>262</v>
      </c>
      <c r="E6" s="38">
        <v>7410185829086</v>
      </c>
      <c r="F6" s="39">
        <v>843459</v>
      </c>
      <c r="G6" s="282" t="s">
        <v>551</v>
      </c>
      <c r="H6" s="266" t="s">
        <v>550</v>
      </c>
      <c r="I6" s="205" t="s">
        <v>495</v>
      </c>
    </row>
    <row r="7" spans="1:10" hidden="1" x14ac:dyDescent="0.35">
      <c r="B7" s="35"/>
      <c r="C7" s="43">
        <v>5</v>
      </c>
      <c r="D7" s="44" t="s">
        <v>13</v>
      </c>
      <c r="E7" s="45">
        <v>6404046670087</v>
      </c>
      <c r="F7" s="46">
        <v>319084</v>
      </c>
      <c r="G7" s="226"/>
      <c r="H7" s="267"/>
      <c r="I7" s="137" t="s">
        <v>283</v>
      </c>
    </row>
    <row r="8" spans="1:10" x14ac:dyDescent="0.35">
      <c r="A8" s="1">
        <v>4</v>
      </c>
      <c r="B8" s="35" t="s">
        <v>4</v>
      </c>
      <c r="C8" s="49" t="s">
        <v>14</v>
      </c>
      <c r="D8" s="50" t="s">
        <v>15</v>
      </c>
      <c r="E8" s="51">
        <v>6803185180081</v>
      </c>
      <c r="F8" s="52">
        <v>94105</v>
      </c>
      <c r="G8" s="283"/>
      <c r="H8" s="268"/>
      <c r="I8" s="206" t="s">
        <v>287</v>
      </c>
    </row>
    <row r="9" spans="1:10" ht="46.5" customHeight="1" x14ac:dyDescent="0.35">
      <c r="A9" s="1">
        <v>5</v>
      </c>
      <c r="B9" s="57" t="s">
        <v>16</v>
      </c>
      <c r="C9" s="36" t="s">
        <v>17</v>
      </c>
      <c r="D9" s="37" t="s">
        <v>18</v>
      </c>
      <c r="E9" s="38">
        <v>6703036653080</v>
      </c>
      <c r="F9" s="39">
        <v>190277</v>
      </c>
      <c r="G9" s="282"/>
      <c r="H9" s="266"/>
      <c r="I9" s="205" t="s">
        <v>494</v>
      </c>
    </row>
    <row r="10" spans="1:10" x14ac:dyDescent="0.35">
      <c r="A10" s="1">
        <v>6</v>
      </c>
      <c r="B10" s="35" t="s">
        <v>19</v>
      </c>
      <c r="C10" s="36" t="s">
        <v>20</v>
      </c>
      <c r="D10" s="58" t="s">
        <v>21</v>
      </c>
      <c r="E10" s="38">
        <v>8305075290085</v>
      </c>
      <c r="F10" s="39">
        <v>2573008</v>
      </c>
      <c r="G10" s="282" t="s">
        <v>561</v>
      </c>
      <c r="H10" s="266" t="s">
        <v>562</v>
      </c>
      <c r="I10" s="205" t="s">
        <v>495</v>
      </c>
    </row>
    <row r="11" spans="1:10" s="62" customFormat="1" hidden="1" x14ac:dyDescent="0.35">
      <c r="A11" s="1"/>
      <c r="B11" s="60"/>
      <c r="C11" s="43">
        <v>8</v>
      </c>
      <c r="D11" s="44" t="s">
        <v>22</v>
      </c>
      <c r="E11" s="45">
        <v>8212126921082</v>
      </c>
      <c r="F11" s="46">
        <v>2506665</v>
      </c>
      <c r="G11" s="226"/>
      <c r="H11" s="267"/>
      <c r="I11" s="137" t="s">
        <v>292</v>
      </c>
      <c r="J11" s="331"/>
    </row>
    <row r="12" spans="1:10" x14ac:dyDescent="0.35">
      <c r="A12" s="1">
        <v>7</v>
      </c>
      <c r="B12" s="35" t="s">
        <v>23</v>
      </c>
      <c r="C12" s="36" t="s">
        <v>24</v>
      </c>
      <c r="D12" s="37" t="s">
        <v>25</v>
      </c>
      <c r="E12" s="38">
        <v>8404025648086</v>
      </c>
      <c r="F12" s="39">
        <v>1143870</v>
      </c>
      <c r="G12" s="282"/>
      <c r="H12" s="266"/>
      <c r="I12" s="205" t="s">
        <v>496</v>
      </c>
    </row>
    <row r="13" spans="1:10" x14ac:dyDescent="0.35">
      <c r="A13" s="1">
        <v>8</v>
      </c>
      <c r="B13" s="35" t="s">
        <v>10</v>
      </c>
      <c r="C13" s="36" t="s">
        <v>26</v>
      </c>
      <c r="D13" s="37" t="s">
        <v>27</v>
      </c>
      <c r="E13" s="38">
        <v>6506285751087</v>
      </c>
      <c r="F13" s="39">
        <v>900086</v>
      </c>
      <c r="G13" s="282" t="s">
        <v>552</v>
      </c>
      <c r="H13" s="266" t="s">
        <v>563</v>
      </c>
      <c r="I13" s="205" t="s">
        <v>497</v>
      </c>
    </row>
    <row r="14" spans="1:10" hidden="1" x14ac:dyDescent="0.35">
      <c r="B14" s="35"/>
      <c r="C14" s="43">
        <v>11</v>
      </c>
      <c r="D14" s="44" t="s">
        <v>28</v>
      </c>
      <c r="E14" s="45">
        <v>6502026541085</v>
      </c>
      <c r="F14" s="46">
        <v>319086</v>
      </c>
      <c r="G14" s="226"/>
      <c r="H14" s="267"/>
      <c r="I14" s="137" t="s">
        <v>300</v>
      </c>
    </row>
    <row r="15" spans="1:10" x14ac:dyDescent="0.35">
      <c r="A15" s="1">
        <v>9</v>
      </c>
      <c r="B15" s="35" t="s">
        <v>29</v>
      </c>
      <c r="C15" s="36" t="s">
        <v>30</v>
      </c>
      <c r="D15" s="37" t="s">
        <v>31</v>
      </c>
      <c r="E15" s="38">
        <v>8810245844083</v>
      </c>
      <c r="F15" s="39">
        <v>1564162</v>
      </c>
      <c r="G15" s="282" t="s">
        <v>29</v>
      </c>
      <c r="H15" s="266" t="s">
        <v>558</v>
      </c>
      <c r="I15" s="205" t="s">
        <v>498</v>
      </c>
    </row>
    <row r="16" spans="1:10" hidden="1" x14ac:dyDescent="0.35">
      <c r="B16" s="35"/>
      <c r="C16" s="36">
        <v>14</v>
      </c>
      <c r="D16" s="44" t="s">
        <v>32</v>
      </c>
      <c r="E16" s="45">
        <v>6501275065085</v>
      </c>
      <c r="F16" s="46">
        <v>2732240</v>
      </c>
      <c r="G16" s="226"/>
      <c r="H16" s="267"/>
      <c r="I16" s="137" t="s">
        <v>305</v>
      </c>
    </row>
    <row r="17" spans="1:10" x14ac:dyDescent="0.35">
      <c r="A17" s="1">
        <v>10</v>
      </c>
      <c r="B17" s="35" t="s">
        <v>33</v>
      </c>
      <c r="C17" s="49" t="s">
        <v>34</v>
      </c>
      <c r="D17" s="50" t="s">
        <v>35</v>
      </c>
      <c r="E17" s="51">
        <v>9008055211084</v>
      </c>
      <c r="F17" s="52">
        <v>2003164</v>
      </c>
      <c r="G17" s="283"/>
      <c r="H17" s="268"/>
      <c r="I17" s="206" t="s">
        <v>309</v>
      </c>
    </row>
    <row r="18" spans="1:10" x14ac:dyDescent="0.35">
      <c r="A18" s="1">
        <v>11</v>
      </c>
      <c r="B18" s="35" t="s">
        <v>10</v>
      </c>
      <c r="C18" s="36" t="s">
        <v>36</v>
      </c>
      <c r="D18" s="37" t="s">
        <v>37</v>
      </c>
      <c r="E18" s="38">
        <v>6504106181089</v>
      </c>
      <c r="F18" s="39">
        <v>2071594</v>
      </c>
      <c r="G18" s="282" t="s">
        <v>549</v>
      </c>
      <c r="H18" s="266"/>
      <c r="I18" s="205" t="s">
        <v>499</v>
      </c>
    </row>
    <row r="19" spans="1:10" hidden="1" x14ac:dyDescent="0.35">
      <c r="B19" s="35"/>
      <c r="C19" s="64">
        <v>17</v>
      </c>
      <c r="D19" s="37" t="s">
        <v>38</v>
      </c>
      <c r="E19" s="45">
        <v>5803205926084</v>
      </c>
      <c r="F19" s="46">
        <v>190351</v>
      </c>
      <c r="G19" s="226"/>
      <c r="H19" s="267"/>
      <c r="I19" s="137" t="s">
        <v>313</v>
      </c>
    </row>
    <row r="20" spans="1:10" x14ac:dyDescent="0.35">
      <c r="A20" s="1">
        <v>12</v>
      </c>
      <c r="B20" s="35" t="s">
        <v>42</v>
      </c>
      <c r="C20" s="36" t="s">
        <v>43</v>
      </c>
      <c r="D20" s="37" t="s">
        <v>44</v>
      </c>
      <c r="E20" s="38">
        <v>8904115462082</v>
      </c>
      <c r="F20" s="39">
        <v>1707175</v>
      </c>
      <c r="G20" s="282" t="s">
        <v>559</v>
      </c>
      <c r="H20" s="266" t="s">
        <v>517</v>
      </c>
      <c r="I20" s="205" t="s">
        <v>501</v>
      </c>
    </row>
    <row r="21" spans="1:10" ht="26" x14ac:dyDescent="0.35">
      <c r="A21" s="1">
        <v>13</v>
      </c>
      <c r="B21" s="35" t="s">
        <v>45</v>
      </c>
      <c r="C21" s="36" t="s">
        <v>46</v>
      </c>
      <c r="D21" s="37" t="s">
        <v>47</v>
      </c>
      <c r="E21" s="38">
        <v>8607215562087</v>
      </c>
      <c r="F21" s="39">
        <v>1286457</v>
      </c>
      <c r="G21" s="282" t="s">
        <v>547</v>
      </c>
      <c r="H21" s="266" t="s">
        <v>595</v>
      </c>
      <c r="I21" s="205" t="s">
        <v>502</v>
      </c>
    </row>
    <row r="22" spans="1:10" ht="26" x14ac:dyDescent="0.35">
      <c r="A22" s="1">
        <v>14</v>
      </c>
      <c r="B22" s="35" t="s">
        <v>23</v>
      </c>
      <c r="C22" s="36" t="s">
        <v>48</v>
      </c>
      <c r="D22" s="37" t="s">
        <v>49</v>
      </c>
      <c r="E22" s="38">
        <v>7705106471086</v>
      </c>
      <c r="F22" s="39">
        <v>1419418</v>
      </c>
      <c r="G22" s="282"/>
      <c r="H22" s="266"/>
      <c r="I22" s="205" t="s">
        <v>503</v>
      </c>
    </row>
    <row r="23" spans="1:10" x14ac:dyDescent="0.35">
      <c r="A23" s="1">
        <v>15</v>
      </c>
      <c r="B23" s="35" t="s">
        <v>50</v>
      </c>
      <c r="C23" s="36" t="s">
        <v>51</v>
      </c>
      <c r="D23" s="37" t="s">
        <v>52</v>
      </c>
      <c r="E23" s="38">
        <v>8302256189087</v>
      </c>
      <c r="F23" s="39">
        <v>1908399</v>
      </c>
      <c r="G23" s="282" t="s">
        <v>523</v>
      </c>
      <c r="H23" s="266" t="s">
        <v>524</v>
      </c>
      <c r="I23" s="205" t="s">
        <v>504</v>
      </c>
    </row>
    <row r="24" spans="1:10" x14ac:dyDescent="0.35">
      <c r="A24" s="1">
        <v>16</v>
      </c>
      <c r="B24" s="35" t="s">
        <v>39</v>
      </c>
      <c r="C24" s="36" t="s">
        <v>53</v>
      </c>
      <c r="D24" s="37" t="s">
        <v>54</v>
      </c>
      <c r="E24" s="38">
        <v>6612245953084</v>
      </c>
      <c r="F24" s="39">
        <v>1032773</v>
      </c>
      <c r="G24" s="282"/>
      <c r="H24" s="266"/>
      <c r="I24" s="205" t="s">
        <v>505</v>
      </c>
    </row>
    <row r="25" spans="1:10" hidden="1" x14ac:dyDescent="0.35">
      <c r="B25" s="35"/>
      <c r="C25" s="43">
        <v>26</v>
      </c>
      <c r="D25" s="44" t="s">
        <v>55</v>
      </c>
      <c r="E25" s="45">
        <v>8611295233080</v>
      </c>
      <c r="F25" s="46">
        <v>1599503</v>
      </c>
      <c r="G25" s="226"/>
      <c r="H25" s="267"/>
      <c r="I25" s="137" t="s">
        <v>333</v>
      </c>
    </row>
    <row r="26" spans="1:10" x14ac:dyDescent="0.35">
      <c r="A26" s="1">
        <v>17</v>
      </c>
      <c r="B26" s="35" t="s">
        <v>56</v>
      </c>
      <c r="C26" s="36" t="s">
        <v>57</v>
      </c>
      <c r="D26" s="37" t="s">
        <v>58</v>
      </c>
      <c r="E26" s="38">
        <v>8004286093087</v>
      </c>
      <c r="F26" s="39">
        <v>2685496</v>
      </c>
      <c r="G26" s="282"/>
      <c r="H26" s="266"/>
      <c r="I26" s="205" t="s">
        <v>506</v>
      </c>
    </row>
    <row r="27" spans="1:10" x14ac:dyDescent="0.35">
      <c r="A27" s="1">
        <v>18</v>
      </c>
      <c r="B27" s="35" t="s">
        <v>59</v>
      </c>
      <c r="C27" s="36" t="s">
        <v>60</v>
      </c>
      <c r="D27" s="37" t="s">
        <v>61</v>
      </c>
      <c r="E27" s="38">
        <v>7209085678084</v>
      </c>
      <c r="F27" s="39">
        <v>379389</v>
      </c>
      <c r="G27" s="282" t="s">
        <v>565</v>
      </c>
      <c r="H27" s="266" t="s">
        <v>564</v>
      </c>
      <c r="I27" s="205" t="s">
        <v>506</v>
      </c>
    </row>
    <row r="28" spans="1:10" hidden="1" x14ac:dyDescent="0.35">
      <c r="B28" s="35"/>
      <c r="C28" s="36">
        <v>30</v>
      </c>
      <c r="D28" s="44" t="s">
        <v>62</v>
      </c>
      <c r="E28" s="45" t="s">
        <v>63</v>
      </c>
      <c r="F28" s="44">
        <v>3160080</v>
      </c>
      <c r="G28" s="226"/>
      <c r="H28" s="267"/>
      <c r="I28" s="137" t="s">
        <v>340</v>
      </c>
    </row>
    <row r="29" spans="1:10" hidden="1" x14ac:dyDescent="0.35">
      <c r="B29" s="35"/>
      <c r="C29" s="64">
        <v>32</v>
      </c>
      <c r="D29" s="37" t="s">
        <v>64</v>
      </c>
      <c r="E29" s="45">
        <v>8910245392081</v>
      </c>
      <c r="F29" s="46">
        <v>1743327</v>
      </c>
      <c r="G29" s="226"/>
      <c r="H29" s="267"/>
      <c r="I29" s="207" t="s">
        <v>507</v>
      </c>
    </row>
    <row r="30" spans="1:10" s="74" customFormat="1" x14ac:dyDescent="0.35">
      <c r="A30" s="1">
        <v>19</v>
      </c>
      <c r="B30" s="67" t="s">
        <v>10</v>
      </c>
      <c r="C30" s="68" t="s">
        <v>65</v>
      </c>
      <c r="D30" s="69" t="s">
        <v>66</v>
      </c>
      <c r="E30" s="70">
        <v>6212315812086</v>
      </c>
      <c r="F30" s="71">
        <v>280359</v>
      </c>
      <c r="G30" s="284" t="s">
        <v>566</v>
      </c>
      <c r="H30" s="267" t="s">
        <v>567</v>
      </c>
      <c r="I30" s="208" t="s">
        <v>346</v>
      </c>
      <c r="J30" s="332"/>
    </row>
    <row r="31" spans="1:10" x14ac:dyDescent="0.35">
      <c r="A31" s="1">
        <v>20</v>
      </c>
      <c r="B31" s="35" t="s">
        <v>56</v>
      </c>
      <c r="C31" s="36" t="s">
        <v>67</v>
      </c>
      <c r="D31" s="37" t="s">
        <v>68</v>
      </c>
      <c r="E31" s="38">
        <v>8412165273086</v>
      </c>
      <c r="F31" s="39">
        <v>2840362</v>
      </c>
      <c r="G31" s="282"/>
      <c r="H31" s="266"/>
      <c r="I31" s="205" t="s">
        <v>508</v>
      </c>
    </row>
    <row r="32" spans="1:10" x14ac:dyDescent="0.35">
      <c r="A32" s="1">
        <v>21</v>
      </c>
      <c r="B32" s="35" t="s">
        <v>16</v>
      </c>
      <c r="C32" s="36" t="s">
        <v>69</v>
      </c>
      <c r="D32" s="37" t="s">
        <v>70</v>
      </c>
      <c r="E32" s="38">
        <v>930412515083</v>
      </c>
      <c r="F32" s="39">
        <v>2112869</v>
      </c>
      <c r="G32" s="282" t="s">
        <v>556</v>
      </c>
      <c r="H32" s="266" t="s">
        <v>557</v>
      </c>
      <c r="I32" s="205" t="s">
        <v>509</v>
      </c>
    </row>
    <row r="33" spans="1:10" s="74" customFormat="1" hidden="1" x14ac:dyDescent="0.35">
      <c r="A33" s="1"/>
      <c r="B33" s="67"/>
      <c r="C33" s="68">
        <v>36</v>
      </c>
      <c r="D33" s="69" t="s">
        <v>71</v>
      </c>
      <c r="E33" s="70">
        <v>7612166366083</v>
      </c>
      <c r="F33" s="71">
        <v>1992221</v>
      </c>
      <c r="G33" s="284"/>
      <c r="H33" s="269"/>
      <c r="I33" s="208" t="s">
        <v>353</v>
      </c>
      <c r="J33" s="332"/>
    </row>
    <row r="34" spans="1:10" s="74" customFormat="1" hidden="1" x14ac:dyDescent="0.35">
      <c r="A34" s="1"/>
      <c r="B34" s="67"/>
      <c r="C34" s="68">
        <v>37</v>
      </c>
      <c r="D34" s="69" t="s">
        <v>72</v>
      </c>
      <c r="E34" s="70">
        <v>9008166285084</v>
      </c>
      <c r="F34" s="71">
        <v>2199718</v>
      </c>
      <c r="G34" s="284"/>
      <c r="H34" s="269"/>
      <c r="I34" s="208" t="s">
        <v>355</v>
      </c>
      <c r="J34" s="332"/>
    </row>
    <row r="35" spans="1:10" x14ac:dyDescent="0.35">
      <c r="A35" s="1">
        <v>22</v>
      </c>
      <c r="B35" s="35" t="s">
        <v>73</v>
      </c>
      <c r="C35" s="36" t="s">
        <v>74</v>
      </c>
      <c r="D35" s="37" t="s">
        <v>75</v>
      </c>
      <c r="E35" s="38">
        <v>9006215424084</v>
      </c>
      <c r="F35" s="39">
        <v>2655682</v>
      </c>
      <c r="G35" s="282" t="s">
        <v>527</v>
      </c>
      <c r="H35" s="266"/>
      <c r="I35" s="205" t="s">
        <v>510</v>
      </c>
    </row>
    <row r="36" spans="1:10" hidden="1" x14ac:dyDescent="0.35">
      <c r="B36" s="35"/>
      <c r="C36" s="43">
        <v>47</v>
      </c>
      <c r="D36" s="44" t="s">
        <v>76</v>
      </c>
      <c r="E36" s="45">
        <v>6111075751080</v>
      </c>
      <c r="F36" s="44">
        <v>749669</v>
      </c>
      <c r="G36" s="226"/>
      <c r="H36" s="267"/>
      <c r="I36" s="137" t="s">
        <v>360</v>
      </c>
    </row>
    <row r="37" spans="1:10" hidden="1" x14ac:dyDescent="0.35">
      <c r="B37" s="35"/>
      <c r="C37" s="43">
        <v>48</v>
      </c>
      <c r="D37" s="44" t="s">
        <v>77</v>
      </c>
      <c r="E37" s="45">
        <v>6509115765087</v>
      </c>
      <c r="F37" s="44">
        <v>167280</v>
      </c>
      <c r="G37" s="226"/>
      <c r="H37" s="267"/>
      <c r="I37" s="137" t="s">
        <v>362</v>
      </c>
    </row>
    <row r="38" spans="1:10" hidden="1" x14ac:dyDescent="0.35">
      <c r="B38" s="35"/>
      <c r="C38" s="43">
        <v>49</v>
      </c>
      <c r="D38" s="44" t="s">
        <v>78</v>
      </c>
      <c r="E38" s="45">
        <v>7906146195087</v>
      </c>
      <c r="F38" s="44">
        <v>1808673</v>
      </c>
      <c r="G38" s="285"/>
      <c r="H38" s="270"/>
      <c r="I38" s="137" t="s">
        <v>364</v>
      </c>
    </row>
    <row r="39" spans="1:10" ht="22.5" customHeight="1" x14ac:dyDescent="0.35">
      <c r="A39" s="1">
        <v>23</v>
      </c>
      <c r="B39" s="35" t="s">
        <v>79</v>
      </c>
      <c r="C39" s="36" t="s">
        <v>80</v>
      </c>
      <c r="D39" s="37" t="s">
        <v>81</v>
      </c>
      <c r="E39" s="38">
        <v>8408126348082</v>
      </c>
      <c r="F39" s="39">
        <v>2038494</v>
      </c>
      <c r="G39" s="282" t="s">
        <v>532</v>
      </c>
      <c r="H39" s="271"/>
      <c r="I39" s="209" t="s">
        <v>511</v>
      </c>
    </row>
    <row r="40" spans="1:10" ht="14.15" customHeight="1" x14ac:dyDescent="0.35">
      <c r="A40" s="1">
        <v>24</v>
      </c>
      <c r="B40" s="35" t="s">
        <v>42</v>
      </c>
      <c r="C40" s="36" t="s">
        <v>82</v>
      </c>
      <c r="D40" s="37" t="s">
        <v>83</v>
      </c>
      <c r="E40" s="38">
        <v>8012186091085</v>
      </c>
      <c r="F40" s="37">
        <v>2424501</v>
      </c>
      <c r="G40" s="282" t="s">
        <v>560</v>
      </c>
      <c r="H40" s="271" t="s">
        <v>596</v>
      </c>
      <c r="I40" s="209" t="s">
        <v>512</v>
      </c>
    </row>
    <row r="41" spans="1:10" hidden="1" x14ac:dyDescent="0.35">
      <c r="B41" s="35"/>
      <c r="C41" s="59">
        <v>51</v>
      </c>
      <c r="D41" s="44" t="s">
        <v>84</v>
      </c>
      <c r="E41" s="45" t="s">
        <v>85</v>
      </c>
      <c r="F41" s="44">
        <v>1785160</v>
      </c>
      <c r="G41" s="226"/>
      <c r="H41" s="267"/>
      <c r="I41" s="137" t="s">
        <v>372</v>
      </c>
    </row>
    <row r="42" spans="1:10" hidden="1" x14ac:dyDescent="0.35">
      <c r="B42" s="35"/>
      <c r="C42" s="59">
        <v>52</v>
      </c>
      <c r="D42" s="44" t="s">
        <v>86</v>
      </c>
      <c r="E42" s="45" t="s">
        <v>87</v>
      </c>
      <c r="F42" s="44">
        <v>1322412</v>
      </c>
      <c r="G42" s="226"/>
      <c r="H42" s="267"/>
      <c r="I42" s="137" t="s">
        <v>374</v>
      </c>
    </row>
    <row r="43" spans="1:10" x14ac:dyDescent="0.35">
      <c r="A43" s="1">
        <v>25</v>
      </c>
      <c r="B43" s="35" t="s">
        <v>59</v>
      </c>
      <c r="C43" s="66" t="s">
        <v>88</v>
      </c>
      <c r="D43" s="69" t="s">
        <v>89</v>
      </c>
      <c r="E43" s="70" t="s">
        <v>90</v>
      </c>
      <c r="F43" s="69">
        <v>1963620</v>
      </c>
      <c r="G43" s="284" t="s">
        <v>528</v>
      </c>
      <c r="H43" s="269"/>
      <c r="I43" s="208" t="s">
        <v>377</v>
      </c>
    </row>
    <row r="44" spans="1:10" x14ac:dyDescent="0.35">
      <c r="A44" s="1">
        <v>26</v>
      </c>
      <c r="B44" s="35" t="s">
        <v>91</v>
      </c>
      <c r="C44" s="88" t="s">
        <v>92</v>
      </c>
      <c r="D44" s="89" t="s">
        <v>93</v>
      </c>
      <c r="E44" s="38" t="s">
        <v>94</v>
      </c>
      <c r="F44" s="38">
        <v>1862916</v>
      </c>
      <c r="G44" s="282"/>
      <c r="H44" s="271"/>
      <c r="I44" s="209" t="s">
        <v>380</v>
      </c>
    </row>
    <row r="45" spans="1:10" ht="26.25" hidden="1" customHeight="1" x14ac:dyDescent="0.35">
      <c r="B45" s="35"/>
      <c r="C45" s="92">
        <v>54</v>
      </c>
      <c r="D45" s="93" t="s">
        <v>95</v>
      </c>
      <c r="E45" s="45" t="s">
        <v>96</v>
      </c>
      <c r="F45" s="45">
        <v>2700403</v>
      </c>
      <c r="G45" s="226"/>
      <c r="H45" s="261"/>
      <c r="I45" s="146" t="s">
        <v>382</v>
      </c>
    </row>
    <row r="46" spans="1:10" hidden="1" x14ac:dyDescent="0.35">
      <c r="B46" s="35"/>
      <c r="C46" s="88">
        <v>55</v>
      </c>
      <c r="D46" s="89" t="s">
        <v>97</v>
      </c>
      <c r="E46" s="38" t="s">
        <v>98</v>
      </c>
      <c r="F46" s="38">
        <v>1500494</v>
      </c>
      <c r="G46" s="282"/>
      <c r="H46" s="271"/>
      <c r="I46" s="209" t="s">
        <v>383</v>
      </c>
    </row>
    <row r="47" spans="1:10" x14ac:dyDescent="0.35">
      <c r="A47" s="1">
        <v>27</v>
      </c>
      <c r="B47" s="35" t="s">
        <v>99</v>
      </c>
      <c r="C47" s="88" t="s">
        <v>100</v>
      </c>
      <c r="D47" s="89" t="s">
        <v>101</v>
      </c>
      <c r="E47" s="38" t="s">
        <v>102</v>
      </c>
      <c r="F47" s="38">
        <v>1717804</v>
      </c>
      <c r="G47" s="282" t="s">
        <v>99</v>
      </c>
      <c r="H47" s="271" t="s">
        <v>554</v>
      </c>
      <c r="I47" s="209" t="s">
        <v>387</v>
      </c>
    </row>
    <row r="48" spans="1:10" hidden="1" x14ac:dyDescent="0.35">
      <c r="B48" s="35"/>
      <c r="C48" s="88">
        <v>60</v>
      </c>
      <c r="D48" s="93" t="s">
        <v>103</v>
      </c>
      <c r="E48" s="45" t="s">
        <v>104</v>
      </c>
      <c r="F48" s="45">
        <v>1417139</v>
      </c>
      <c r="G48" s="226"/>
      <c r="H48" s="261"/>
      <c r="I48" s="146" t="s">
        <v>387</v>
      </c>
    </row>
    <row r="49" spans="1:10" x14ac:dyDescent="0.35">
      <c r="A49" s="1">
        <v>28</v>
      </c>
      <c r="B49" s="35" t="s">
        <v>4</v>
      </c>
      <c r="C49" s="88" t="s">
        <v>105</v>
      </c>
      <c r="D49" s="89" t="s">
        <v>106</v>
      </c>
      <c r="E49" s="38" t="s">
        <v>107</v>
      </c>
      <c r="F49" s="38">
        <v>1553300</v>
      </c>
      <c r="G49" s="282"/>
      <c r="H49" s="271"/>
      <c r="I49" s="209" t="s">
        <v>340</v>
      </c>
    </row>
    <row r="50" spans="1:10" s="62" customFormat="1" hidden="1" x14ac:dyDescent="0.35">
      <c r="A50" s="1"/>
      <c r="B50" s="60"/>
      <c r="C50" s="92">
        <v>63</v>
      </c>
      <c r="D50" s="93" t="s">
        <v>108</v>
      </c>
      <c r="E50" s="45" t="s">
        <v>109</v>
      </c>
      <c r="F50" s="45">
        <v>2786964</v>
      </c>
      <c r="G50" s="226"/>
      <c r="H50" s="261"/>
      <c r="I50" s="146" t="s">
        <v>391</v>
      </c>
      <c r="J50" s="331"/>
    </row>
    <row r="51" spans="1:10" x14ac:dyDescent="0.35">
      <c r="A51" s="1">
        <v>29</v>
      </c>
      <c r="B51" s="35" t="s">
        <v>10</v>
      </c>
      <c r="C51" s="88" t="s">
        <v>110</v>
      </c>
      <c r="D51" s="89" t="s">
        <v>111</v>
      </c>
      <c r="E51" s="38" t="s">
        <v>112</v>
      </c>
      <c r="F51" s="38">
        <v>2895541</v>
      </c>
      <c r="G51" s="282"/>
      <c r="H51" s="271"/>
      <c r="I51" s="209" t="s">
        <v>394</v>
      </c>
    </row>
    <row r="52" spans="1:10" ht="26" x14ac:dyDescent="0.35">
      <c r="A52" s="1">
        <v>30</v>
      </c>
      <c r="B52" s="35" t="s">
        <v>113</v>
      </c>
      <c r="C52" s="88" t="s">
        <v>114</v>
      </c>
      <c r="D52" s="89" t="s">
        <v>115</v>
      </c>
      <c r="E52" s="38" t="s">
        <v>116</v>
      </c>
      <c r="F52" s="38">
        <v>263496</v>
      </c>
      <c r="G52" s="282" t="s">
        <v>544</v>
      </c>
      <c r="H52" s="271" t="s">
        <v>543</v>
      </c>
      <c r="I52" s="209" t="s">
        <v>397</v>
      </c>
    </row>
    <row r="53" spans="1:10" s="62" customFormat="1" ht="26" hidden="1" x14ac:dyDescent="0.35">
      <c r="A53" s="1"/>
      <c r="B53" s="60"/>
      <c r="C53" s="92">
        <v>73</v>
      </c>
      <c r="D53" s="93" t="s">
        <v>117</v>
      </c>
      <c r="E53" s="45"/>
      <c r="F53" s="45"/>
      <c r="G53" s="226"/>
      <c r="H53" s="261"/>
      <c r="I53" s="146" t="s">
        <v>398</v>
      </c>
      <c r="J53" s="331"/>
    </row>
    <row r="54" spans="1:10" x14ac:dyDescent="0.35">
      <c r="A54" s="1">
        <v>31</v>
      </c>
      <c r="B54" s="35"/>
      <c r="C54" s="98" t="s">
        <v>118</v>
      </c>
      <c r="D54" s="99" t="s">
        <v>119</v>
      </c>
      <c r="E54" s="51">
        <v>9702195175080</v>
      </c>
      <c r="F54" s="51">
        <v>2902422</v>
      </c>
      <c r="G54" s="283" t="s">
        <v>529</v>
      </c>
      <c r="H54" s="272"/>
      <c r="I54" s="210" t="s">
        <v>400</v>
      </c>
    </row>
    <row r="55" spans="1:10" ht="26" x14ac:dyDescent="0.35">
      <c r="A55" s="1">
        <v>32</v>
      </c>
      <c r="B55" s="35" t="s">
        <v>79</v>
      </c>
      <c r="C55" s="88" t="s">
        <v>120</v>
      </c>
      <c r="D55" s="89" t="s">
        <v>121</v>
      </c>
      <c r="E55" s="38" t="s">
        <v>122</v>
      </c>
      <c r="F55" s="38">
        <v>1741317</v>
      </c>
      <c r="G55" s="282" t="s">
        <v>533</v>
      </c>
      <c r="H55" s="273" t="s">
        <v>520</v>
      </c>
      <c r="I55" s="211" t="s">
        <v>403</v>
      </c>
    </row>
    <row r="56" spans="1:10" s="62" customFormat="1" hidden="1" x14ac:dyDescent="0.35">
      <c r="A56" s="1"/>
      <c r="B56" s="60"/>
      <c r="C56" s="92">
        <v>77</v>
      </c>
      <c r="D56" s="93" t="s">
        <v>123</v>
      </c>
      <c r="E56" s="45" t="s">
        <v>124</v>
      </c>
      <c r="F56" s="45"/>
      <c r="G56" s="226"/>
      <c r="H56" s="261"/>
      <c r="I56" s="146" t="s">
        <v>403</v>
      </c>
      <c r="J56" s="331"/>
    </row>
    <row r="57" spans="1:10" s="74" customFormat="1" ht="42.75" customHeight="1" x14ac:dyDescent="0.35">
      <c r="A57" s="1">
        <v>33</v>
      </c>
      <c r="B57" s="67" t="s">
        <v>4</v>
      </c>
      <c r="C57" s="102" t="s">
        <v>125</v>
      </c>
      <c r="D57" s="103" t="s">
        <v>126</v>
      </c>
      <c r="E57" s="70" t="s">
        <v>127</v>
      </c>
      <c r="F57" s="70">
        <v>2257376</v>
      </c>
      <c r="G57" s="284" t="s">
        <v>546</v>
      </c>
      <c r="H57" s="274" t="s">
        <v>545</v>
      </c>
      <c r="I57" s="212" t="s">
        <v>406</v>
      </c>
      <c r="J57" s="332"/>
    </row>
    <row r="58" spans="1:10" s="74" customFormat="1" x14ac:dyDescent="0.35">
      <c r="A58" s="1">
        <v>34</v>
      </c>
      <c r="B58" s="67" t="s">
        <v>128</v>
      </c>
      <c r="C58" s="102" t="s">
        <v>129</v>
      </c>
      <c r="D58" s="103" t="s">
        <v>130</v>
      </c>
      <c r="E58" s="70" t="s">
        <v>131</v>
      </c>
      <c r="F58" s="70">
        <v>1746851</v>
      </c>
      <c r="G58" s="284"/>
      <c r="H58" s="274"/>
      <c r="I58" s="212" t="s">
        <v>409</v>
      </c>
      <c r="J58" s="332"/>
    </row>
    <row r="59" spans="1:10" s="74" customFormat="1" x14ac:dyDescent="0.35">
      <c r="A59" s="1">
        <v>35</v>
      </c>
      <c r="B59" s="67" t="s">
        <v>132</v>
      </c>
      <c r="C59" s="102" t="s">
        <v>133</v>
      </c>
      <c r="D59" s="103" t="s">
        <v>134</v>
      </c>
      <c r="E59" s="70" t="s">
        <v>135</v>
      </c>
      <c r="F59" s="70">
        <v>2900197</v>
      </c>
      <c r="G59" s="284"/>
      <c r="H59" s="274"/>
      <c r="I59" s="212" t="s">
        <v>409</v>
      </c>
      <c r="J59" s="332"/>
    </row>
    <row r="60" spans="1:10" s="74" customFormat="1" x14ac:dyDescent="0.35">
      <c r="A60" s="1">
        <v>36</v>
      </c>
      <c r="B60" s="106"/>
      <c r="C60" s="102" t="s">
        <v>136</v>
      </c>
      <c r="D60" s="103" t="s">
        <v>137</v>
      </c>
      <c r="E60" s="70" t="s">
        <v>138</v>
      </c>
      <c r="F60" s="70">
        <v>2002948</v>
      </c>
      <c r="G60" s="284"/>
      <c r="H60" s="274"/>
      <c r="I60" s="212" t="s">
        <v>414</v>
      </c>
      <c r="J60" s="332"/>
    </row>
    <row r="61" spans="1:10" s="74" customFormat="1" ht="26" x14ac:dyDescent="0.35">
      <c r="A61" s="1">
        <v>37</v>
      </c>
      <c r="B61" s="67" t="s">
        <v>45</v>
      </c>
      <c r="C61" s="102" t="s">
        <v>139</v>
      </c>
      <c r="D61" s="103" t="s">
        <v>140</v>
      </c>
      <c r="E61" s="70" t="s">
        <v>141</v>
      </c>
      <c r="F61" s="70">
        <v>1327177</v>
      </c>
      <c r="G61" s="282" t="s">
        <v>547</v>
      </c>
      <c r="H61" s="274" t="s">
        <v>594</v>
      </c>
      <c r="I61" s="212" t="s">
        <v>417</v>
      </c>
      <c r="J61" s="332"/>
    </row>
    <row r="62" spans="1:10" s="74" customFormat="1" x14ac:dyDescent="0.35">
      <c r="A62" s="1">
        <v>38</v>
      </c>
      <c r="B62" s="67" t="s">
        <v>142</v>
      </c>
      <c r="C62" s="102" t="s">
        <v>143</v>
      </c>
      <c r="D62" s="103" t="s">
        <v>144</v>
      </c>
      <c r="E62" s="70" t="s">
        <v>145</v>
      </c>
      <c r="F62" s="70">
        <v>2847356</v>
      </c>
      <c r="G62" s="284"/>
      <c r="H62" s="274"/>
      <c r="I62" s="212" t="s">
        <v>420</v>
      </c>
      <c r="J62" s="332"/>
    </row>
    <row r="63" spans="1:10" s="74" customFormat="1" x14ac:dyDescent="0.35">
      <c r="A63" s="1">
        <v>39</v>
      </c>
      <c r="B63" s="67" t="s">
        <v>79</v>
      </c>
      <c r="C63" s="102" t="s">
        <v>146</v>
      </c>
      <c r="D63" s="103" t="s">
        <v>147</v>
      </c>
      <c r="E63" s="70" t="s">
        <v>148</v>
      </c>
      <c r="F63" s="70">
        <v>2734113</v>
      </c>
      <c r="G63" s="284" t="s">
        <v>534</v>
      </c>
      <c r="H63" s="274"/>
      <c r="I63" s="212" t="s">
        <v>420</v>
      </c>
      <c r="J63" s="332"/>
    </row>
    <row r="64" spans="1:10" s="74" customFormat="1" x14ac:dyDescent="0.35">
      <c r="A64" s="1">
        <v>40</v>
      </c>
      <c r="B64" s="67" t="s">
        <v>56</v>
      </c>
      <c r="C64" s="66" t="s">
        <v>149</v>
      </c>
      <c r="D64" s="69" t="s">
        <v>150</v>
      </c>
      <c r="E64" s="70" t="s">
        <v>151</v>
      </c>
      <c r="F64" s="69">
        <v>1410053</v>
      </c>
      <c r="G64" s="284" t="s">
        <v>553</v>
      </c>
      <c r="H64" s="274" t="s">
        <v>554</v>
      </c>
      <c r="I64" s="212" t="s">
        <v>425</v>
      </c>
      <c r="J64" s="332"/>
    </row>
    <row r="65" spans="1:10" s="74" customFormat="1" ht="26" x14ac:dyDescent="0.35">
      <c r="A65" s="1">
        <v>41</v>
      </c>
      <c r="B65" s="67" t="s">
        <v>153</v>
      </c>
      <c r="C65" s="84" t="s">
        <v>152</v>
      </c>
      <c r="D65" s="37" t="s">
        <v>154</v>
      </c>
      <c r="E65" s="38" t="s">
        <v>155</v>
      </c>
      <c r="F65" s="37">
        <v>2110665</v>
      </c>
      <c r="G65" s="282" t="s">
        <v>153</v>
      </c>
      <c r="H65" s="271" t="s">
        <v>525</v>
      </c>
      <c r="I65" s="212" t="s">
        <v>427</v>
      </c>
      <c r="J65" s="332"/>
    </row>
    <row r="66" spans="1:10" s="74" customFormat="1" x14ac:dyDescent="0.35">
      <c r="A66" s="1">
        <v>42</v>
      </c>
      <c r="B66" s="67" t="s">
        <v>10</v>
      </c>
      <c r="C66" s="84" t="s">
        <v>156</v>
      </c>
      <c r="D66" s="37" t="s">
        <v>157</v>
      </c>
      <c r="E66" s="70" t="s">
        <v>158</v>
      </c>
      <c r="F66" s="37">
        <v>2652479</v>
      </c>
      <c r="G66" s="282" t="s">
        <v>552</v>
      </c>
      <c r="H66" s="271" t="s">
        <v>563</v>
      </c>
      <c r="I66" s="212" t="s">
        <v>427</v>
      </c>
      <c r="J66" s="332"/>
    </row>
    <row r="67" spans="1:10" s="74" customFormat="1" x14ac:dyDescent="0.35">
      <c r="A67" s="1">
        <v>43</v>
      </c>
      <c r="B67" s="67" t="s">
        <v>159</v>
      </c>
      <c r="C67" s="84" t="s">
        <v>160</v>
      </c>
      <c r="D67" s="37" t="s">
        <v>161</v>
      </c>
      <c r="E67" s="70" t="s">
        <v>162</v>
      </c>
      <c r="F67" s="37">
        <v>2003192</v>
      </c>
      <c r="G67" s="282"/>
      <c r="H67" s="271"/>
      <c r="I67" s="212" t="s">
        <v>432</v>
      </c>
      <c r="J67" s="332"/>
    </row>
    <row r="68" spans="1:10" s="74" customFormat="1" x14ac:dyDescent="0.35">
      <c r="A68" s="1">
        <v>44</v>
      </c>
      <c r="B68" s="67" t="s">
        <v>113</v>
      </c>
      <c r="C68" s="84" t="s">
        <v>163</v>
      </c>
      <c r="D68" s="37" t="s">
        <v>164</v>
      </c>
      <c r="E68" s="38" t="s">
        <v>165</v>
      </c>
      <c r="F68" s="37">
        <v>3248542</v>
      </c>
      <c r="G68" s="282"/>
      <c r="H68" s="271"/>
      <c r="I68" s="212" t="s">
        <v>435</v>
      </c>
      <c r="J68" s="332"/>
    </row>
    <row r="69" spans="1:10" s="74" customFormat="1" ht="26" x14ac:dyDescent="0.35">
      <c r="A69" s="1">
        <v>45</v>
      </c>
      <c r="B69" s="67" t="s">
        <v>166</v>
      </c>
      <c r="C69" s="84" t="s">
        <v>167</v>
      </c>
      <c r="D69" s="37" t="s">
        <v>168</v>
      </c>
      <c r="E69" s="38" t="s">
        <v>169</v>
      </c>
      <c r="F69" s="37">
        <v>3181505</v>
      </c>
      <c r="G69" s="282" t="s">
        <v>535</v>
      </c>
      <c r="H69" s="271" t="s">
        <v>520</v>
      </c>
      <c r="I69" s="212" t="s">
        <v>438</v>
      </c>
      <c r="J69" s="332"/>
    </row>
    <row r="70" spans="1:10" s="74" customFormat="1" ht="26" x14ac:dyDescent="0.35">
      <c r="A70" s="1">
        <v>46</v>
      </c>
      <c r="B70" s="67" t="s">
        <v>142</v>
      </c>
      <c r="C70" s="84" t="s">
        <v>170</v>
      </c>
      <c r="D70" s="37" t="s">
        <v>171</v>
      </c>
      <c r="E70" s="112" t="s">
        <v>172</v>
      </c>
      <c r="F70" s="37">
        <v>3210067</v>
      </c>
      <c r="G70" s="282" t="s">
        <v>590</v>
      </c>
      <c r="H70" s="271" t="s">
        <v>564</v>
      </c>
      <c r="I70" s="212" t="s">
        <v>441</v>
      </c>
      <c r="J70" s="332"/>
    </row>
    <row r="71" spans="1:10" s="74" customFormat="1" ht="26" x14ac:dyDescent="0.35">
      <c r="A71" s="1">
        <v>47</v>
      </c>
      <c r="B71" s="67" t="s">
        <v>79</v>
      </c>
      <c r="C71" s="84" t="s">
        <v>173</v>
      </c>
      <c r="D71" s="37" t="s">
        <v>174</v>
      </c>
      <c r="E71" s="38">
        <v>9504135233080</v>
      </c>
      <c r="F71" s="37">
        <v>2807179</v>
      </c>
      <c r="G71" s="282" t="s">
        <v>536</v>
      </c>
      <c r="H71" s="271" t="s">
        <v>520</v>
      </c>
      <c r="I71" s="213" t="s">
        <v>444</v>
      </c>
      <c r="J71" s="332"/>
    </row>
    <row r="72" spans="1:10" s="74" customFormat="1" ht="26" x14ac:dyDescent="0.35">
      <c r="A72" s="1">
        <v>48</v>
      </c>
      <c r="B72" s="67" t="s">
        <v>166</v>
      </c>
      <c r="C72" s="84" t="s">
        <v>175</v>
      </c>
      <c r="D72" s="37" t="s">
        <v>176</v>
      </c>
      <c r="E72" s="38" t="s">
        <v>177</v>
      </c>
      <c r="F72" s="37">
        <v>2501777</v>
      </c>
      <c r="G72" s="282" t="s">
        <v>537</v>
      </c>
      <c r="H72" s="278" t="s">
        <v>520</v>
      </c>
      <c r="I72" s="213" t="s">
        <v>444</v>
      </c>
      <c r="J72" s="332"/>
    </row>
    <row r="73" spans="1:10" s="74" customFormat="1" x14ac:dyDescent="0.35">
      <c r="A73" s="1">
        <v>49</v>
      </c>
      <c r="B73" s="67" t="s">
        <v>142</v>
      </c>
      <c r="C73" s="84" t="s">
        <v>178</v>
      </c>
      <c r="D73" s="37" t="s">
        <v>179</v>
      </c>
      <c r="E73" s="38" t="s">
        <v>180</v>
      </c>
      <c r="F73" s="37">
        <v>2121020</v>
      </c>
      <c r="G73" s="282"/>
      <c r="H73" s="271"/>
      <c r="I73" s="213" t="s">
        <v>449</v>
      </c>
      <c r="J73" s="332"/>
    </row>
    <row r="74" spans="1:10" s="74" customFormat="1" ht="26" x14ac:dyDescent="0.35">
      <c r="A74" s="1">
        <v>50</v>
      </c>
      <c r="B74" s="67" t="s">
        <v>79</v>
      </c>
      <c r="C74" s="84" t="s">
        <v>181</v>
      </c>
      <c r="D74" s="37" t="s">
        <v>182</v>
      </c>
      <c r="E74" s="38" t="s">
        <v>183</v>
      </c>
      <c r="F74" s="37">
        <v>1760406</v>
      </c>
      <c r="G74" s="282" t="s">
        <v>538</v>
      </c>
      <c r="H74" s="271" t="s">
        <v>520</v>
      </c>
      <c r="I74" s="213" t="s">
        <v>452</v>
      </c>
      <c r="J74" s="332"/>
    </row>
    <row r="75" spans="1:10" s="74" customFormat="1" x14ac:dyDescent="0.35">
      <c r="A75" s="1">
        <v>51</v>
      </c>
      <c r="B75" s="106" t="s">
        <v>33</v>
      </c>
      <c r="C75" s="84" t="s">
        <v>184</v>
      </c>
      <c r="D75" s="37" t="s">
        <v>185</v>
      </c>
      <c r="E75" s="38" t="s">
        <v>186</v>
      </c>
      <c r="F75" s="37">
        <v>1925801</v>
      </c>
      <c r="G75" s="282"/>
      <c r="H75" s="271"/>
      <c r="I75" s="213" t="s">
        <v>452</v>
      </c>
      <c r="J75" s="332"/>
    </row>
    <row r="76" spans="1:10" s="74" customFormat="1" x14ac:dyDescent="0.35">
      <c r="A76" s="1">
        <v>52</v>
      </c>
      <c r="B76" s="67" t="s">
        <v>187</v>
      </c>
      <c r="C76" s="84" t="s">
        <v>188</v>
      </c>
      <c r="D76" s="37" t="s">
        <v>189</v>
      </c>
      <c r="E76" s="38" t="s">
        <v>190</v>
      </c>
      <c r="F76" s="37">
        <v>2688427</v>
      </c>
      <c r="G76" s="282" t="s">
        <v>548</v>
      </c>
      <c r="H76" s="271" t="s">
        <v>568</v>
      </c>
      <c r="I76" s="213" t="s">
        <v>456</v>
      </c>
      <c r="J76" s="332"/>
    </row>
    <row r="77" spans="1:10" s="74" customFormat="1" x14ac:dyDescent="0.35">
      <c r="A77" s="1">
        <v>53</v>
      </c>
      <c r="B77" s="67" t="s">
        <v>191</v>
      </c>
      <c r="C77" s="84" t="s">
        <v>192</v>
      </c>
      <c r="D77" s="37" t="s">
        <v>193</v>
      </c>
      <c r="E77" s="38" t="s">
        <v>194</v>
      </c>
      <c r="F77" s="37">
        <v>2113976</v>
      </c>
      <c r="G77" s="282" t="s">
        <v>191</v>
      </c>
      <c r="H77" s="271" t="s">
        <v>592</v>
      </c>
      <c r="I77" s="213" t="s">
        <v>459</v>
      </c>
      <c r="J77" s="332" t="s">
        <v>593</v>
      </c>
    </row>
    <row r="78" spans="1:10" s="74" customFormat="1" x14ac:dyDescent="0.35">
      <c r="A78" s="1">
        <v>54</v>
      </c>
      <c r="B78" s="67" t="s">
        <v>199</v>
      </c>
      <c r="C78" s="84" t="s">
        <v>198</v>
      </c>
      <c r="D78" s="37" t="s">
        <v>200</v>
      </c>
      <c r="E78" s="38" t="s">
        <v>201</v>
      </c>
      <c r="F78" s="37">
        <v>2869124</v>
      </c>
      <c r="G78" s="282" t="s">
        <v>586</v>
      </c>
      <c r="H78" s="271" t="s">
        <v>587</v>
      </c>
      <c r="I78" s="213" t="s">
        <v>459</v>
      </c>
      <c r="J78" s="332"/>
    </row>
    <row r="79" spans="1:10" s="74" customFormat="1" x14ac:dyDescent="0.35">
      <c r="A79" s="1">
        <v>55</v>
      </c>
      <c r="B79" s="67" t="s">
        <v>203</v>
      </c>
      <c r="C79" s="84" t="s">
        <v>202</v>
      </c>
      <c r="D79" s="37" t="s">
        <v>204</v>
      </c>
      <c r="E79" s="38" t="s">
        <v>205</v>
      </c>
      <c r="F79" s="37">
        <v>2449277</v>
      </c>
      <c r="G79" s="282" t="s">
        <v>540</v>
      </c>
      <c r="H79" s="271" t="s">
        <v>521</v>
      </c>
      <c r="I79" s="213" t="s">
        <v>459</v>
      </c>
      <c r="J79" s="332"/>
    </row>
    <row r="80" spans="1:10" s="74" customFormat="1" x14ac:dyDescent="0.35">
      <c r="A80" s="1">
        <v>56</v>
      </c>
      <c r="B80" s="67" t="s">
        <v>206</v>
      </c>
      <c r="C80" s="84" t="s">
        <v>207</v>
      </c>
      <c r="D80" s="37" t="s">
        <v>208</v>
      </c>
      <c r="E80" s="38" t="s">
        <v>209</v>
      </c>
      <c r="F80" s="37">
        <v>2340229</v>
      </c>
      <c r="G80" s="282"/>
      <c r="H80" s="271"/>
      <c r="I80" s="213" t="s">
        <v>467</v>
      </c>
      <c r="J80" s="332"/>
    </row>
    <row r="81" spans="1:11" s="74" customFormat="1" x14ac:dyDescent="0.35">
      <c r="A81" s="1">
        <v>57</v>
      </c>
      <c r="B81" s="67" t="s">
        <v>45</v>
      </c>
      <c r="C81" s="114" t="s">
        <v>210</v>
      </c>
      <c r="D81" s="37" t="s">
        <v>211</v>
      </c>
      <c r="E81" s="38" t="s">
        <v>212</v>
      </c>
      <c r="F81" s="37">
        <v>810265</v>
      </c>
      <c r="G81" s="282"/>
      <c r="H81" s="271"/>
      <c r="I81" s="213" t="s">
        <v>467</v>
      </c>
      <c r="J81" s="332"/>
    </row>
    <row r="82" spans="1:11" s="74" customFormat="1" x14ac:dyDescent="0.35">
      <c r="A82" s="1">
        <v>58</v>
      </c>
      <c r="B82" s="67" t="s">
        <v>214</v>
      </c>
      <c r="C82" s="114" t="s">
        <v>213</v>
      </c>
      <c r="D82" s="37" t="s">
        <v>215</v>
      </c>
      <c r="E82" s="38" t="s">
        <v>216</v>
      </c>
      <c r="F82" s="37">
        <v>2036144</v>
      </c>
      <c r="G82" s="289" t="s">
        <v>555</v>
      </c>
      <c r="H82" s="271"/>
      <c r="I82" s="213" t="s">
        <v>470</v>
      </c>
      <c r="J82" s="332"/>
    </row>
    <row r="83" spans="1:11" s="74" customFormat="1" x14ac:dyDescent="0.35">
      <c r="A83" s="1">
        <v>59</v>
      </c>
      <c r="B83" s="35" t="s">
        <v>56</v>
      </c>
      <c r="C83" s="114" t="s">
        <v>217</v>
      </c>
      <c r="D83" s="37" t="s">
        <v>218</v>
      </c>
      <c r="E83" s="38" t="s">
        <v>219</v>
      </c>
      <c r="F83" s="37">
        <v>1744364</v>
      </c>
      <c r="G83" s="282"/>
      <c r="H83" s="271"/>
      <c r="I83" s="210" t="s">
        <v>473</v>
      </c>
      <c r="J83" s="332"/>
    </row>
    <row r="84" spans="1:11" x14ac:dyDescent="0.35">
      <c r="A84" s="1">
        <v>60</v>
      </c>
      <c r="B84" s="115" t="s">
        <v>220</v>
      </c>
      <c r="C84" s="116" t="s">
        <v>221</v>
      </c>
      <c r="D84" s="37" t="s">
        <v>222</v>
      </c>
      <c r="E84" s="38" t="s">
        <v>223</v>
      </c>
      <c r="F84" s="117" t="s">
        <v>224</v>
      </c>
      <c r="G84" s="282"/>
      <c r="H84" s="271"/>
      <c r="I84" s="213" t="s">
        <v>467</v>
      </c>
    </row>
    <row r="85" spans="1:11" x14ac:dyDescent="0.35">
      <c r="A85" s="1">
        <v>61</v>
      </c>
      <c r="B85" s="115" t="s">
        <v>225</v>
      </c>
      <c r="C85" s="116" t="s">
        <v>226</v>
      </c>
      <c r="D85" s="37" t="s">
        <v>227</v>
      </c>
      <c r="E85" s="38" t="s">
        <v>228</v>
      </c>
      <c r="F85" s="117" t="s">
        <v>229</v>
      </c>
      <c r="G85" s="282" t="s">
        <v>518</v>
      </c>
      <c r="H85" s="271" t="s">
        <v>519</v>
      </c>
      <c r="I85" s="213" t="s">
        <v>467</v>
      </c>
    </row>
    <row r="86" spans="1:11" x14ac:dyDescent="0.35">
      <c r="A86" s="1">
        <v>62</v>
      </c>
      <c r="B86" s="35" t="s">
        <v>45</v>
      </c>
      <c r="C86" s="116" t="s">
        <v>230</v>
      </c>
      <c r="D86" s="50" t="s">
        <v>231</v>
      </c>
      <c r="E86" s="51" t="s">
        <v>232</v>
      </c>
      <c r="F86" s="118" t="s">
        <v>233</v>
      </c>
      <c r="G86" s="289" t="s">
        <v>555</v>
      </c>
      <c r="H86" s="272"/>
      <c r="I86" s="214" t="s">
        <v>480</v>
      </c>
    </row>
    <row r="87" spans="1:11" x14ac:dyDescent="0.35">
      <c r="A87" s="1">
        <v>63</v>
      </c>
      <c r="B87" s="115" t="s">
        <v>56</v>
      </c>
      <c r="C87" s="119" t="s">
        <v>234</v>
      </c>
      <c r="D87" s="37" t="s">
        <v>235</v>
      </c>
      <c r="E87" s="38">
        <v>8904035464085</v>
      </c>
      <c r="F87" s="117" t="s">
        <v>236</v>
      </c>
      <c r="G87" s="282" t="s">
        <v>541</v>
      </c>
      <c r="H87" s="271" t="s">
        <v>522</v>
      </c>
      <c r="I87" s="213" t="s">
        <v>467</v>
      </c>
      <c r="K87" s="217"/>
    </row>
    <row r="88" spans="1:11" ht="26" x14ac:dyDescent="0.35">
      <c r="A88" s="1">
        <v>64</v>
      </c>
      <c r="B88" s="120" t="s">
        <v>79</v>
      </c>
      <c r="C88" s="121" t="s">
        <v>237</v>
      </c>
      <c r="D88" s="109" t="s">
        <v>238</v>
      </c>
      <c r="E88" s="122" t="s">
        <v>239</v>
      </c>
      <c r="F88" s="123" t="s">
        <v>240</v>
      </c>
      <c r="G88" s="286" t="s">
        <v>539</v>
      </c>
      <c r="H88" s="275" t="s">
        <v>520</v>
      </c>
      <c r="I88" s="215" t="s">
        <v>467</v>
      </c>
    </row>
    <row r="89" spans="1:11" x14ac:dyDescent="0.35">
      <c r="A89" s="1">
        <v>65</v>
      </c>
      <c r="B89" s="35" t="s">
        <v>4</v>
      </c>
      <c r="C89" s="116" t="s">
        <v>241</v>
      </c>
      <c r="D89" s="50" t="s">
        <v>242</v>
      </c>
      <c r="E89" s="51" t="s">
        <v>243</v>
      </c>
      <c r="F89" s="118" t="s">
        <v>244</v>
      </c>
      <c r="G89" s="283" t="s">
        <v>530</v>
      </c>
      <c r="H89" s="272"/>
      <c r="I89" s="214" t="s">
        <v>485</v>
      </c>
    </row>
    <row r="90" spans="1:11" x14ac:dyDescent="0.35">
      <c r="A90" s="1">
        <v>66</v>
      </c>
      <c r="B90" s="124" t="s">
        <v>245</v>
      </c>
      <c r="C90" s="116" t="s">
        <v>246</v>
      </c>
      <c r="D90" s="50" t="s">
        <v>247</v>
      </c>
      <c r="E90" s="51" t="s">
        <v>248</v>
      </c>
      <c r="F90" s="50">
        <v>1529119</v>
      </c>
      <c r="G90" s="283" t="s">
        <v>542</v>
      </c>
      <c r="H90" s="272"/>
      <c r="I90" s="210" t="s">
        <v>473</v>
      </c>
    </row>
    <row r="91" spans="1:11" x14ac:dyDescent="0.35">
      <c r="A91" s="1">
        <v>67</v>
      </c>
      <c r="B91" s="115" t="s">
        <v>4</v>
      </c>
      <c r="C91" s="116" t="s">
        <v>249</v>
      </c>
      <c r="D91" s="37" t="s">
        <v>250</v>
      </c>
      <c r="E91" s="38" t="s">
        <v>251</v>
      </c>
      <c r="F91" s="117" t="s">
        <v>252</v>
      </c>
      <c r="G91" s="282" t="s">
        <v>531</v>
      </c>
      <c r="H91" s="271"/>
      <c r="I91" s="213" t="s">
        <v>467</v>
      </c>
    </row>
    <row r="92" spans="1:11" x14ac:dyDescent="0.35">
      <c r="A92" s="1">
        <v>68</v>
      </c>
      <c r="B92" s="35"/>
      <c r="C92" s="116" t="s">
        <v>253</v>
      </c>
      <c r="D92" s="50" t="s">
        <v>254</v>
      </c>
      <c r="E92" s="51" t="s">
        <v>255</v>
      </c>
      <c r="F92" s="50">
        <v>4829068</v>
      </c>
      <c r="G92" s="283"/>
      <c r="H92" s="272"/>
      <c r="I92" s="210" t="s">
        <v>492</v>
      </c>
    </row>
    <row r="95" spans="1:11" ht="39" x14ac:dyDescent="0.35">
      <c r="F95" s="251"/>
      <c r="G95" s="287" t="s">
        <v>513</v>
      </c>
      <c r="H95" s="276"/>
    </row>
  </sheetData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58178-E177-4145-991B-B34D507D98BE}">
  <sheetPr>
    <pageSetUpPr fitToPage="1"/>
  </sheetPr>
  <dimension ref="A1:R97"/>
  <sheetViews>
    <sheetView tabSelected="1" topLeftCell="F1" workbookViewId="0">
      <pane ySplit="2" topLeftCell="A86" activePane="bottomLeft" state="frozen"/>
      <selection activeCell="C1" sqref="C1"/>
      <selection pane="bottomLeft" activeCell="M86" sqref="M86"/>
    </sheetView>
  </sheetViews>
  <sheetFormatPr defaultRowHeight="20" x14ac:dyDescent="0.35"/>
  <cols>
    <col min="1" max="1" width="3.7265625" style="1" customWidth="1"/>
    <col min="2" max="2" width="14.453125" style="2" hidden="1" customWidth="1"/>
    <col min="3" max="3" width="10.7265625" style="125" customWidth="1"/>
    <col min="4" max="4" width="21.453125" style="19" customWidth="1"/>
    <col min="5" max="5" width="25.7265625" style="126" customWidth="1"/>
    <col min="6" max="6" width="10.7265625" style="19" customWidth="1"/>
    <col min="7" max="7" width="13" style="127" customWidth="1"/>
    <col min="8" max="8" width="11.7265625" style="127" customWidth="1"/>
    <col min="9" max="10" width="11.7265625" style="128" customWidth="1"/>
    <col min="11" max="11" width="11.7265625" style="159" customWidth="1"/>
    <col min="12" max="12" width="14.453125" style="253" customWidth="1"/>
    <col min="13" max="13" width="11.7265625" style="238" customWidth="1"/>
    <col min="14" max="14" width="17" style="9" customWidth="1"/>
    <col min="15" max="15" width="11.81640625" style="290" customWidth="1"/>
    <col min="16" max="16" width="9.1796875" style="9"/>
    <col min="17" max="17" width="9.1796875" style="19"/>
    <col min="18" max="240" width="9.1796875" style="9"/>
    <col min="241" max="241" width="7.453125" style="9" customWidth="1"/>
    <col min="242" max="242" width="29.453125" style="9" customWidth="1"/>
    <col min="243" max="243" width="17.81640625" style="9" customWidth="1"/>
    <col min="244" max="244" width="16.7265625" style="9" customWidth="1"/>
    <col min="245" max="248" width="10.7265625" style="9" customWidth="1"/>
    <col min="249" max="249" width="12.7265625" style="9" customWidth="1"/>
    <col min="250" max="250" width="12.1796875" style="9" customWidth="1"/>
    <col min="251" max="252" width="10.7265625" style="9" customWidth="1"/>
    <col min="253" max="253" width="12.7265625" style="9" customWidth="1"/>
    <col min="254" max="254" width="10.7265625" style="9" customWidth="1"/>
    <col min="255" max="255" width="13.54296875" style="9" customWidth="1"/>
    <col min="256" max="256" width="10.7265625" style="9" customWidth="1"/>
    <col min="257" max="257" width="12" style="9" customWidth="1"/>
    <col min="258" max="261" width="9.1796875" style="9"/>
    <col min="262" max="263" width="10.7265625" style="9" customWidth="1"/>
    <col min="264" max="496" width="9.1796875" style="9"/>
    <col min="497" max="497" width="7.453125" style="9" customWidth="1"/>
    <col min="498" max="498" width="29.453125" style="9" customWidth="1"/>
    <col min="499" max="499" width="17.81640625" style="9" customWidth="1"/>
    <col min="500" max="500" width="16.7265625" style="9" customWidth="1"/>
    <col min="501" max="504" width="10.7265625" style="9" customWidth="1"/>
    <col min="505" max="505" width="12.7265625" style="9" customWidth="1"/>
    <col min="506" max="506" width="12.1796875" style="9" customWidth="1"/>
    <col min="507" max="508" width="10.7265625" style="9" customWidth="1"/>
    <col min="509" max="509" width="12.7265625" style="9" customWidth="1"/>
    <col min="510" max="510" width="10.7265625" style="9" customWidth="1"/>
    <col min="511" max="511" width="13.54296875" style="9" customWidth="1"/>
    <col min="512" max="512" width="10.7265625" style="9" customWidth="1"/>
    <col min="513" max="513" width="12" style="9" customWidth="1"/>
    <col min="514" max="517" width="9.1796875" style="9"/>
    <col min="518" max="519" width="10.7265625" style="9" customWidth="1"/>
    <col min="520" max="752" width="9.1796875" style="9"/>
    <col min="753" max="753" width="7.453125" style="9" customWidth="1"/>
    <col min="754" max="754" width="29.453125" style="9" customWidth="1"/>
    <col min="755" max="755" width="17.81640625" style="9" customWidth="1"/>
    <col min="756" max="756" width="16.7265625" style="9" customWidth="1"/>
    <col min="757" max="760" width="10.7265625" style="9" customWidth="1"/>
    <col min="761" max="761" width="12.7265625" style="9" customWidth="1"/>
    <col min="762" max="762" width="12.1796875" style="9" customWidth="1"/>
    <col min="763" max="764" width="10.7265625" style="9" customWidth="1"/>
    <col min="765" max="765" width="12.7265625" style="9" customWidth="1"/>
    <col min="766" max="766" width="10.7265625" style="9" customWidth="1"/>
    <col min="767" max="767" width="13.54296875" style="9" customWidth="1"/>
    <col min="768" max="768" width="10.7265625" style="9" customWidth="1"/>
    <col min="769" max="769" width="12" style="9" customWidth="1"/>
    <col min="770" max="773" width="9.1796875" style="9"/>
    <col min="774" max="775" width="10.7265625" style="9" customWidth="1"/>
    <col min="776" max="1008" width="9.1796875" style="9"/>
    <col min="1009" max="1009" width="7.453125" style="9" customWidth="1"/>
    <col min="1010" max="1010" width="29.453125" style="9" customWidth="1"/>
    <col min="1011" max="1011" width="17.81640625" style="9" customWidth="1"/>
    <col min="1012" max="1012" width="16.7265625" style="9" customWidth="1"/>
    <col min="1013" max="1016" width="10.7265625" style="9" customWidth="1"/>
    <col min="1017" max="1017" width="12.7265625" style="9" customWidth="1"/>
    <col min="1018" max="1018" width="12.1796875" style="9" customWidth="1"/>
    <col min="1019" max="1020" width="10.7265625" style="9" customWidth="1"/>
    <col min="1021" max="1021" width="12.7265625" style="9" customWidth="1"/>
    <col min="1022" max="1022" width="10.7265625" style="9" customWidth="1"/>
    <col min="1023" max="1023" width="13.54296875" style="9" customWidth="1"/>
    <col min="1024" max="1024" width="10.7265625" style="9" customWidth="1"/>
    <col min="1025" max="1025" width="12" style="9" customWidth="1"/>
    <col min="1026" max="1029" width="9.1796875" style="9"/>
    <col min="1030" max="1031" width="10.7265625" style="9" customWidth="1"/>
    <col min="1032" max="1264" width="9.1796875" style="9"/>
    <col min="1265" max="1265" width="7.453125" style="9" customWidth="1"/>
    <col min="1266" max="1266" width="29.453125" style="9" customWidth="1"/>
    <col min="1267" max="1267" width="17.81640625" style="9" customWidth="1"/>
    <col min="1268" max="1268" width="16.7265625" style="9" customWidth="1"/>
    <col min="1269" max="1272" width="10.7265625" style="9" customWidth="1"/>
    <col min="1273" max="1273" width="12.7265625" style="9" customWidth="1"/>
    <col min="1274" max="1274" width="12.1796875" style="9" customWidth="1"/>
    <col min="1275" max="1276" width="10.7265625" style="9" customWidth="1"/>
    <col min="1277" max="1277" width="12.7265625" style="9" customWidth="1"/>
    <col min="1278" max="1278" width="10.7265625" style="9" customWidth="1"/>
    <col min="1279" max="1279" width="13.54296875" style="9" customWidth="1"/>
    <col min="1280" max="1280" width="10.7265625" style="9" customWidth="1"/>
    <col min="1281" max="1281" width="12" style="9" customWidth="1"/>
    <col min="1282" max="1285" width="9.1796875" style="9"/>
    <col min="1286" max="1287" width="10.7265625" style="9" customWidth="1"/>
    <col min="1288" max="1520" width="9.1796875" style="9"/>
    <col min="1521" max="1521" width="7.453125" style="9" customWidth="1"/>
    <col min="1522" max="1522" width="29.453125" style="9" customWidth="1"/>
    <col min="1523" max="1523" width="17.81640625" style="9" customWidth="1"/>
    <col min="1524" max="1524" width="16.7265625" style="9" customWidth="1"/>
    <col min="1525" max="1528" width="10.7265625" style="9" customWidth="1"/>
    <col min="1529" max="1529" width="12.7265625" style="9" customWidth="1"/>
    <col min="1530" max="1530" width="12.1796875" style="9" customWidth="1"/>
    <col min="1531" max="1532" width="10.7265625" style="9" customWidth="1"/>
    <col min="1533" max="1533" width="12.7265625" style="9" customWidth="1"/>
    <col min="1534" max="1534" width="10.7265625" style="9" customWidth="1"/>
    <col min="1535" max="1535" width="13.54296875" style="9" customWidth="1"/>
    <col min="1536" max="1536" width="10.7265625" style="9" customWidth="1"/>
    <col min="1537" max="1537" width="12" style="9" customWidth="1"/>
    <col min="1538" max="1541" width="9.1796875" style="9"/>
    <col min="1542" max="1543" width="10.7265625" style="9" customWidth="1"/>
    <col min="1544" max="1776" width="9.1796875" style="9"/>
    <col min="1777" max="1777" width="7.453125" style="9" customWidth="1"/>
    <col min="1778" max="1778" width="29.453125" style="9" customWidth="1"/>
    <col min="1779" max="1779" width="17.81640625" style="9" customWidth="1"/>
    <col min="1780" max="1780" width="16.7265625" style="9" customWidth="1"/>
    <col min="1781" max="1784" width="10.7265625" style="9" customWidth="1"/>
    <col min="1785" max="1785" width="12.7265625" style="9" customWidth="1"/>
    <col min="1786" max="1786" width="12.1796875" style="9" customWidth="1"/>
    <col min="1787" max="1788" width="10.7265625" style="9" customWidth="1"/>
    <col min="1789" max="1789" width="12.7265625" style="9" customWidth="1"/>
    <col min="1790" max="1790" width="10.7265625" style="9" customWidth="1"/>
    <col min="1791" max="1791" width="13.54296875" style="9" customWidth="1"/>
    <col min="1792" max="1792" width="10.7265625" style="9" customWidth="1"/>
    <col min="1793" max="1793" width="12" style="9" customWidth="1"/>
    <col min="1794" max="1797" width="9.1796875" style="9"/>
    <col min="1798" max="1799" width="10.7265625" style="9" customWidth="1"/>
    <col min="1800" max="2032" width="9.1796875" style="9"/>
    <col min="2033" max="2033" width="7.453125" style="9" customWidth="1"/>
    <col min="2034" max="2034" width="29.453125" style="9" customWidth="1"/>
    <col min="2035" max="2035" width="17.81640625" style="9" customWidth="1"/>
    <col min="2036" max="2036" width="16.7265625" style="9" customWidth="1"/>
    <col min="2037" max="2040" width="10.7265625" style="9" customWidth="1"/>
    <col min="2041" max="2041" width="12.7265625" style="9" customWidth="1"/>
    <col min="2042" max="2042" width="12.1796875" style="9" customWidth="1"/>
    <col min="2043" max="2044" width="10.7265625" style="9" customWidth="1"/>
    <col min="2045" max="2045" width="12.7265625" style="9" customWidth="1"/>
    <col min="2046" max="2046" width="10.7265625" style="9" customWidth="1"/>
    <col min="2047" max="2047" width="13.54296875" style="9" customWidth="1"/>
    <col min="2048" max="2048" width="10.7265625" style="9" customWidth="1"/>
    <col min="2049" max="2049" width="12" style="9" customWidth="1"/>
    <col min="2050" max="2053" width="9.1796875" style="9"/>
    <col min="2054" max="2055" width="10.7265625" style="9" customWidth="1"/>
    <col min="2056" max="2288" width="9.1796875" style="9"/>
    <col min="2289" max="2289" width="7.453125" style="9" customWidth="1"/>
    <col min="2290" max="2290" width="29.453125" style="9" customWidth="1"/>
    <col min="2291" max="2291" width="17.81640625" style="9" customWidth="1"/>
    <col min="2292" max="2292" width="16.7265625" style="9" customWidth="1"/>
    <col min="2293" max="2296" width="10.7265625" style="9" customWidth="1"/>
    <col min="2297" max="2297" width="12.7265625" style="9" customWidth="1"/>
    <col min="2298" max="2298" width="12.1796875" style="9" customWidth="1"/>
    <col min="2299" max="2300" width="10.7265625" style="9" customWidth="1"/>
    <col min="2301" max="2301" width="12.7265625" style="9" customWidth="1"/>
    <col min="2302" max="2302" width="10.7265625" style="9" customWidth="1"/>
    <col min="2303" max="2303" width="13.54296875" style="9" customWidth="1"/>
    <col min="2304" max="2304" width="10.7265625" style="9" customWidth="1"/>
    <col min="2305" max="2305" width="12" style="9" customWidth="1"/>
    <col min="2306" max="2309" width="9.1796875" style="9"/>
    <col min="2310" max="2311" width="10.7265625" style="9" customWidth="1"/>
    <col min="2312" max="2544" width="9.1796875" style="9"/>
    <col min="2545" max="2545" width="7.453125" style="9" customWidth="1"/>
    <col min="2546" max="2546" width="29.453125" style="9" customWidth="1"/>
    <col min="2547" max="2547" width="17.81640625" style="9" customWidth="1"/>
    <col min="2548" max="2548" width="16.7265625" style="9" customWidth="1"/>
    <col min="2549" max="2552" width="10.7265625" style="9" customWidth="1"/>
    <col min="2553" max="2553" width="12.7265625" style="9" customWidth="1"/>
    <col min="2554" max="2554" width="12.1796875" style="9" customWidth="1"/>
    <col min="2555" max="2556" width="10.7265625" style="9" customWidth="1"/>
    <col min="2557" max="2557" width="12.7265625" style="9" customWidth="1"/>
    <col min="2558" max="2558" width="10.7265625" style="9" customWidth="1"/>
    <col min="2559" max="2559" width="13.54296875" style="9" customWidth="1"/>
    <col min="2560" max="2560" width="10.7265625" style="9" customWidth="1"/>
    <col min="2561" max="2561" width="12" style="9" customWidth="1"/>
    <col min="2562" max="2565" width="9.1796875" style="9"/>
    <col min="2566" max="2567" width="10.7265625" style="9" customWidth="1"/>
    <col min="2568" max="2800" width="9.1796875" style="9"/>
    <col min="2801" max="2801" width="7.453125" style="9" customWidth="1"/>
    <col min="2802" max="2802" width="29.453125" style="9" customWidth="1"/>
    <col min="2803" max="2803" width="17.81640625" style="9" customWidth="1"/>
    <col min="2804" max="2804" width="16.7265625" style="9" customWidth="1"/>
    <col min="2805" max="2808" width="10.7265625" style="9" customWidth="1"/>
    <col min="2809" max="2809" width="12.7265625" style="9" customWidth="1"/>
    <col min="2810" max="2810" width="12.1796875" style="9" customWidth="1"/>
    <col min="2811" max="2812" width="10.7265625" style="9" customWidth="1"/>
    <col min="2813" max="2813" width="12.7265625" style="9" customWidth="1"/>
    <col min="2814" max="2814" width="10.7265625" style="9" customWidth="1"/>
    <col min="2815" max="2815" width="13.54296875" style="9" customWidth="1"/>
    <col min="2816" max="2816" width="10.7265625" style="9" customWidth="1"/>
    <col min="2817" max="2817" width="12" style="9" customWidth="1"/>
    <col min="2818" max="2821" width="9.1796875" style="9"/>
    <col min="2822" max="2823" width="10.7265625" style="9" customWidth="1"/>
    <col min="2824" max="3056" width="9.1796875" style="9"/>
    <col min="3057" max="3057" width="7.453125" style="9" customWidth="1"/>
    <col min="3058" max="3058" width="29.453125" style="9" customWidth="1"/>
    <col min="3059" max="3059" width="17.81640625" style="9" customWidth="1"/>
    <col min="3060" max="3060" width="16.7265625" style="9" customWidth="1"/>
    <col min="3061" max="3064" width="10.7265625" style="9" customWidth="1"/>
    <col min="3065" max="3065" width="12.7265625" style="9" customWidth="1"/>
    <col min="3066" max="3066" width="12.1796875" style="9" customWidth="1"/>
    <col min="3067" max="3068" width="10.7265625" style="9" customWidth="1"/>
    <col min="3069" max="3069" width="12.7265625" style="9" customWidth="1"/>
    <col min="3070" max="3070" width="10.7265625" style="9" customWidth="1"/>
    <col min="3071" max="3071" width="13.54296875" style="9" customWidth="1"/>
    <col min="3072" max="3072" width="10.7265625" style="9" customWidth="1"/>
    <col min="3073" max="3073" width="12" style="9" customWidth="1"/>
    <col min="3074" max="3077" width="9.1796875" style="9"/>
    <col min="3078" max="3079" width="10.7265625" style="9" customWidth="1"/>
    <col min="3080" max="3312" width="9.1796875" style="9"/>
    <col min="3313" max="3313" width="7.453125" style="9" customWidth="1"/>
    <col min="3314" max="3314" width="29.453125" style="9" customWidth="1"/>
    <col min="3315" max="3315" width="17.81640625" style="9" customWidth="1"/>
    <col min="3316" max="3316" width="16.7265625" style="9" customWidth="1"/>
    <col min="3317" max="3320" width="10.7265625" style="9" customWidth="1"/>
    <col min="3321" max="3321" width="12.7265625" style="9" customWidth="1"/>
    <col min="3322" max="3322" width="12.1796875" style="9" customWidth="1"/>
    <col min="3323" max="3324" width="10.7265625" style="9" customWidth="1"/>
    <col min="3325" max="3325" width="12.7265625" style="9" customWidth="1"/>
    <col min="3326" max="3326" width="10.7265625" style="9" customWidth="1"/>
    <col min="3327" max="3327" width="13.54296875" style="9" customWidth="1"/>
    <col min="3328" max="3328" width="10.7265625" style="9" customWidth="1"/>
    <col min="3329" max="3329" width="12" style="9" customWidth="1"/>
    <col min="3330" max="3333" width="9.1796875" style="9"/>
    <col min="3334" max="3335" width="10.7265625" style="9" customWidth="1"/>
    <col min="3336" max="3568" width="9.1796875" style="9"/>
    <col min="3569" max="3569" width="7.453125" style="9" customWidth="1"/>
    <col min="3570" max="3570" width="29.453125" style="9" customWidth="1"/>
    <col min="3571" max="3571" width="17.81640625" style="9" customWidth="1"/>
    <col min="3572" max="3572" width="16.7265625" style="9" customWidth="1"/>
    <col min="3573" max="3576" width="10.7265625" style="9" customWidth="1"/>
    <col min="3577" max="3577" width="12.7265625" style="9" customWidth="1"/>
    <col min="3578" max="3578" width="12.1796875" style="9" customWidth="1"/>
    <col min="3579" max="3580" width="10.7265625" style="9" customWidth="1"/>
    <col min="3581" max="3581" width="12.7265625" style="9" customWidth="1"/>
    <col min="3582" max="3582" width="10.7265625" style="9" customWidth="1"/>
    <col min="3583" max="3583" width="13.54296875" style="9" customWidth="1"/>
    <col min="3584" max="3584" width="10.7265625" style="9" customWidth="1"/>
    <col min="3585" max="3585" width="12" style="9" customWidth="1"/>
    <col min="3586" max="3589" width="9.1796875" style="9"/>
    <col min="3590" max="3591" width="10.7265625" style="9" customWidth="1"/>
    <col min="3592" max="3824" width="9.1796875" style="9"/>
    <col min="3825" max="3825" width="7.453125" style="9" customWidth="1"/>
    <col min="3826" max="3826" width="29.453125" style="9" customWidth="1"/>
    <col min="3827" max="3827" width="17.81640625" style="9" customWidth="1"/>
    <col min="3828" max="3828" width="16.7265625" style="9" customWidth="1"/>
    <col min="3829" max="3832" width="10.7265625" style="9" customWidth="1"/>
    <col min="3833" max="3833" width="12.7265625" style="9" customWidth="1"/>
    <col min="3834" max="3834" width="12.1796875" style="9" customWidth="1"/>
    <col min="3835" max="3836" width="10.7265625" style="9" customWidth="1"/>
    <col min="3837" max="3837" width="12.7265625" style="9" customWidth="1"/>
    <col min="3838" max="3838" width="10.7265625" style="9" customWidth="1"/>
    <col min="3839" max="3839" width="13.54296875" style="9" customWidth="1"/>
    <col min="3840" max="3840" width="10.7265625" style="9" customWidth="1"/>
    <col min="3841" max="3841" width="12" style="9" customWidth="1"/>
    <col min="3842" max="3845" width="9.1796875" style="9"/>
    <col min="3846" max="3847" width="10.7265625" style="9" customWidth="1"/>
    <col min="3848" max="4080" width="9.1796875" style="9"/>
    <col min="4081" max="4081" width="7.453125" style="9" customWidth="1"/>
    <col min="4082" max="4082" width="29.453125" style="9" customWidth="1"/>
    <col min="4083" max="4083" width="17.81640625" style="9" customWidth="1"/>
    <col min="4084" max="4084" width="16.7265625" style="9" customWidth="1"/>
    <col min="4085" max="4088" width="10.7265625" style="9" customWidth="1"/>
    <col min="4089" max="4089" width="12.7265625" style="9" customWidth="1"/>
    <col min="4090" max="4090" width="12.1796875" style="9" customWidth="1"/>
    <col min="4091" max="4092" width="10.7265625" style="9" customWidth="1"/>
    <col min="4093" max="4093" width="12.7265625" style="9" customWidth="1"/>
    <col min="4094" max="4094" width="10.7265625" style="9" customWidth="1"/>
    <col min="4095" max="4095" width="13.54296875" style="9" customWidth="1"/>
    <col min="4096" max="4096" width="10.7265625" style="9" customWidth="1"/>
    <col min="4097" max="4097" width="12" style="9" customWidth="1"/>
    <col min="4098" max="4101" width="9.1796875" style="9"/>
    <col min="4102" max="4103" width="10.7265625" style="9" customWidth="1"/>
    <col min="4104" max="4336" width="9.1796875" style="9"/>
    <col min="4337" max="4337" width="7.453125" style="9" customWidth="1"/>
    <col min="4338" max="4338" width="29.453125" style="9" customWidth="1"/>
    <col min="4339" max="4339" width="17.81640625" style="9" customWidth="1"/>
    <col min="4340" max="4340" width="16.7265625" style="9" customWidth="1"/>
    <col min="4341" max="4344" width="10.7265625" style="9" customWidth="1"/>
    <col min="4345" max="4345" width="12.7265625" style="9" customWidth="1"/>
    <col min="4346" max="4346" width="12.1796875" style="9" customWidth="1"/>
    <col min="4347" max="4348" width="10.7265625" style="9" customWidth="1"/>
    <col min="4349" max="4349" width="12.7265625" style="9" customWidth="1"/>
    <col min="4350" max="4350" width="10.7265625" style="9" customWidth="1"/>
    <col min="4351" max="4351" width="13.54296875" style="9" customWidth="1"/>
    <col min="4352" max="4352" width="10.7265625" style="9" customWidth="1"/>
    <col min="4353" max="4353" width="12" style="9" customWidth="1"/>
    <col min="4354" max="4357" width="9.1796875" style="9"/>
    <col min="4358" max="4359" width="10.7265625" style="9" customWidth="1"/>
    <col min="4360" max="4592" width="9.1796875" style="9"/>
    <col min="4593" max="4593" width="7.453125" style="9" customWidth="1"/>
    <col min="4594" max="4594" width="29.453125" style="9" customWidth="1"/>
    <col min="4595" max="4595" width="17.81640625" style="9" customWidth="1"/>
    <col min="4596" max="4596" width="16.7265625" style="9" customWidth="1"/>
    <col min="4597" max="4600" width="10.7265625" style="9" customWidth="1"/>
    <col min="4601" max="4601" width="12.7265625" style="9" customWidth="1"/>
    <col min="4602" max="4602" width="12.1796875" style="9" customWidth="1"/>
    <col min="4603" max="4604" width="10.7265625" style="9" customWidth="1"/>
    <col min="4605" max="4605" width="12.7265625" style="9" customWidth="1"/>
    <col min="4606" max="4606" width="10.7265625" style="9" customWidth="1"/>
    <col min="4607" max="4607" width="13.54296875" style="9" customWidth="1"/>
    <col min="4608" max="4608" width="10.7265625" style="9" customWidth="1"/>
    <col min="4609" max="4609" width="12" style="9" customWidth="1"/>
    <col min="4610" max="4613" width="9.1796875" style="9"/>
    <col min="4614" max="4615" width="10.7265625" style="9" customWidth="1"/>
    <col min="4616" max="4848" width="9.1796875" style="9"/>
    <col min="4849" max="4849" width="7.453125" style="9" customWidth="1"/>
    <col min="4850" max="4850" width="29.453125" style="9" customWidth="1"/>
    <col min="4851" max="4851" width="17.81640625" style="9" customWidth="1"/>
    <col min="4852" max="4852" width="16.7265625" style="9" customWidth="1"/>
    <col min="4853" max="4856" width="10.7265625" style="9" customWidth="1"/>
    <col min="4857" max="4857" width="12.7265625" style="9" customWidth="1"/>
    <col min="4858" max="4858" width="12.1796875" style="9" customWidth="1"/>
    <col min="4859" max="4860" width="10.7265625" style="9" customWidth="1"/>
    <col min="4861" max="4861" width="12.7265625" style="9" customWidth="1"/>
    <col min="4862" max="4862" width="10.7265625" style="9" customWidth="1"/>
    <col min="4863" max="4863" width="13.54296875" style="9" customWidth="1"/>
    <col min="4864" max="4864" width="10.7265625" style="9" customWidth="1"/>
    <col min="4865" max="4865" width="12" style="9" customWidth="1"/>
    <col min="4866" max="4869" width="9.1796875" style="9"/>
    <col min="4870" max="4871" width="10.7265625" style="9" customWidth="1"/>
    <col min="4872" max="5104" width="9.1796875" style="9"/>
    <col min="5105" max="5105" width="7.453125" style="9" customWidth="1"/>
    <col min="5106" max="5106" width="29.453125" style="9" customWidth="1"/>
    <col min="5107" max="5107" width="17.81640625" style="9" customWidth="1"/>
    <col min="5108" max="5108" width="16.7265625" style="9" customWidth="1"/>
    <col min="5109" max="5112" width="10.7265625" style="9" customWidth="1"/>
    <col min="5113" max="5113" width="12.7265625" style="9" customWidth="1"/>
    <col min="5114" max="5114" width="12.1796875" style="9" customWidth="1"/>
    <col min="5115" max="5116" width="10.7265625" style="9" customWidth="1"/>
    <col min="5117" max="5117" width="12.7265625" style="9" customWidth="1"/>
    <col min="5118" max="5118" width="10.7265625" style="9" customWidth="1"/>
    <col min="5119" max="5119" width="13.54296875" style="9" customWidth="1"/>
    <col min="5120" max="5120" width="10.7265625" style="9" customWidth="1"/>
    <col min="5121" max="5121" width="12" style="9" customWidth="1"/>
    <col min="5122" max="5125" width="9.1796875" style="9"/>
    <col min="5126" max="5127" width="10.7265625" style="9" customWidth="1"/>
    <col min="5128" max="5360" width="9.1796875" style="9"/>
    <col min="5361" max="5361" width="7.453125" style="9" customWidth="1"/>
    <col min="5362" max="5362" width="29.453125" style="9" customWidth="1"/>
    <col min="5363" max="5363" width="17.81640625" style="9" customWidth="1"/>
    <col min="5364" max="5364" width="16.7265625" style="9" customWidth="1"/>
    <col min="5365" max="5368" width="10.7265625" style="9" customWidth="1"/>
    <col min="5369" max="5369" width="12.7265625" style="9" customWidth="1"/>
    <col min="5370" max="5370" width="12.1796875" style="9" customWidth="1"/>
    <col min="5371" max="5372" width="10.7265625" style="9" customWidth="1"/>
    <col min="5373" max="5373" width="12.7265625" style="9" customWidth="1"/>
    <col min="5374" max="5374" width="10.7265625" style="9" customWidth="1"/>
    <col min="5375" max="5375" width="13.54296875" style="9" customWidth="1"/>
    <col min="5376" max="5376" width="10.7265625" style="9" customWidth="1"/>
    <col min="5377" max="5377" width="12" style="9" customWidth="1"/>
    <col min="5378" max="5381" width="9.1796875" style="9"/>
    <col min="5382" max="5383" width="10.7265625" style="9" customWidth="1"/>
    <col min="5384" max="5616" width="9.1796875" style="9"/>
    <col min="5617" max="5617" width="7.453125" style="9" customWidth="1"/>
    <col min="5618" max="5618" width="29.453125" style="9" customWidth="1"/>
    <col min="5619" max="5619" width="17.81640625" style="9" customWidth="1"/>
    <col min="5620" max="5620" width="16.7265625" style="9" customWidth="1"/>
    <col min="5621" max="5624" width="10.7265625" style="9" customWidth="1"/>
    <col min="5625" max="5625" width="12.7265625" style="9" customWidth="1"/>
    <col min="5626" max="5626" width="12.1796875" style="9" customWidth="1"/>
    <col min="5627" max="5628" width="10.7265625" style="9" customWidth="1"/>
    <col min="5629" max="5629" width="12.7265625" style="9" customWidth="1"/>
    <col min="5630" max="5630" width="10.7265625" style="9" customWidth="1"/>
    <col min="5631" max="5631" width="13.54296875" style="9" customWidth="1"/>
    <col min="5632" max="5632" width="10.7265625" style="9" customWidth="1"/>
    <col min="5633" max="5633" width="12" style="9" customWidth="1"/>
    <col min="5634" max="5637" width="9.1796875" style="9"/>
    <col min="5638" max="5639" width="10.7265625" style="9" customWidth="1"/>
    <col min="5640" max="5872" width="9.1796875" style="9"/>
    <col min="5873" max="5873" width="7.453125" style="9" customWidth="1"/>
    <col min="5874" max="5874" width="29.453125" style="9" customWidth="1"/>
    <col min="5875" max="5875" width="17.81640625" style="9" customWidth="1"/>
    <col min="5876" max="5876" width="16.7265625" style="9" customWidth="1"/>
    <col min="5877" max="5880" width="10.7265625" style="9" customWidth="1"/>
    <col min="5881" max="5881" width="12.7265625" style="9" customWidth="1"/>
    <col min="5882" max="5882" width="12.1796875" style="9" customWidth="1"/>
    <col min="5883" max="5884" width="10.7265625" style="9" customWidth="1"/>
    <col min="5885" max="5885" width="12.7265625" style="9" customWidth="1"/>
    <col min="5886" max="5886" width="10.7265625" style="9" customWidth="1"/>
    <col min="5887" max="5887" width="13.54296875" style="9" customWidth="1"/>
    <col min="5888" max="5888" width="10.7265625" style="9" customWidth="1"/>
    <col min="5889" max="5889" width="12" style="9" customWidth="1"/>
    <col min="5890" max="5893" width="9.1796875" style="9"/>
    <col min="5894" max="5895" width="10.7265625" style="9" customWidth="1"/>
    <col min="5896" max="6128" width="9.1796875" style="9"/>
    <col min="6129" max="6129" width="7.453125" style="9" customWidth="1"/>
    <col min="6130" max="6130" width="29.453125" style="9" customWidth="1"/>
    <col min="6131" max="6131" width="17.81640625" style="9" customWidth="1"/>
    <col min="6132" max="6132" width="16.7265625" style="9" customWidth="1"/>
    <col min="6133" max="6136" width="10.7265625" style="9" customWidth="1"/>
    <col min="6137" max="6137" width="12.7265625" style="9" customWidth="1"/>
    <col min="6138" max="6138" width="12.1796875" style="9" customWidth="1"/>
    <col min="6139" max="6140" width="10.7265625" style="9" customWidth="1"/>
    <col min="6141" max="6141" width="12.7265625" style="9" customWidth="1"/>
    <col min="6142" max="6142" width="10.7265625" style="9" customWidth="1"/>
    <col min="6143" max="6143" width="13.54296875" style="9" customWidth="1"/>
    <col min="6144" max="6144" width="10.7265625" style="9" customWidth="1"/>
    <col min="6145" max="6145" width="12" style="9" customWidth="1"/>
    <col min="6146" max="6149" width="9.1796875" style="9"/>
    <col min="6150" max="6151" width="10.7265625" style="9" customWidth="1"/>
    <col min="6152" max="6384" width="9.1796875" style="9"/>
    <col min="6385" max="6385" width="7.453125" style="9" customWidth="1"/>
    <col min="6386" max="6386" width="29.453125" style="9" customWidth="1"/>
    <col min="6387" max="6387" width="17.81640625" style="9" customWidth="1"/>
    <col min="6388" max="6388" width="16.7265625" style="9" customWidth="1"/>
    <col min="6389" max="6392" width="10.7265625" style="9" customWidth="1"/>
    <col min="6393" max="6393" width="12.7265625" style="9" customWidth="1"/>
    <col min="6394" max="6394" width="12.1796875" style="9" customWidth="1"/>
    <col min="6395" max="6396" width="10.7265625" style="9" customWidth="1"/>
    <col min="6397" max="6397" width="12.7265625" style="9" customWidth="1"/>
    <col min="6398" max="6398" width="10.7265625" style="9" customWidth="1"/>
    <col min="6399" max="6399" width="13.54296875" style="9" customWidth="1"/>
    <col min="6400" max="6400" width="10.7265625" style="9" customWidth="1"/>
    <col min="6401" max="6401" width="12" style="9" customWidth="1"/>
    <col min="6402" max="6405" width="9.1796875" style="9"/>
    <col min="6406" max="6407" width="10.7265625" style="9" customWidth="1"/>
    <col min="6408" max="6640" width="9.1796875" style="9"/>
    <col min="6641" max="6641" width="7.453125" style="9" customWidth="1"/>
    <col min="6642" max="6642" width="29.453125" style="9" customWidth="1"/>
    <col min="6643" max="6643" width="17.81640625" style="9" customWidth="1"/>
    <col min="6644" max="6644" width="16.7265625" style="9" customWidth="1"/>
    <col min="6645" max="6648" width="10.7265625" style="9" customWidth="1"/>
    <col min="6649" max="6649" width="12.7265625" style="9" customWidth="1"/>
    <col min="6650" max="6650" width="12.1796875" style="9" customWidth="1"/>
    <col min="6651" max="6652" width="10.7265625" style="9" customWidth="1"/>
    <col min="6653" max="6653" width="12.7265625" style="9" customWidth="1"/>
    <col min="6654" max="6654" width="10.7265625" style="9" customWidth="1"/>
    <col min="6655" max="6655" width="13.54296875" style="9" customWidth="1"/>
    <col min="6656" max="6656" width="10.7265625" style="9" customWidth="1"/>
    <col min="6657" max="6657" width="12" style="9" customWidth="1"/>
    <col min="6658" max="6661" width="9.1796875" style="9"/>
    <col min="6662" max="6663" width="10.7265625" style="9" customWidth="1"/>
    <col min="6664" max="6896" width="9.1796875" style="9"/>
    <col min="6897" max="6897" width="7.453125" style="9" customWidth="1"/>
    <col min="6898" max="6898" width="29.453125" style="9" customWidth="1"/>
    <col min="6899" max="6899" width="17.81640625" style="9" customWidth="1"/>
    <col min="6900" max="6900" width="16.7265625" style="9" customWidth="1"/>
    <col min="6901" max="6904" width="10.7265625" style="9" customWidth="1"/>
    <col min="6905" max="6905" width="12.7265625" style="9" customWidth="1"/>
    <col min="6906" max="6906" width="12.1796875" style="9" customWidth="1"/>
    <col min="6907" max="6908" width="10.7265625" style="9" customWidth="1"/>
    <col min="6909" max="6909" width="12.7265625" style="9" customWidth="1"/>
    <col min="6910" max="6910" width="10.7265625" style="9" customWidth="1"/>
    <col min="6911" max="6911" width="13.54296875" style="9" customWidth="1"/>
    <col min="6912" max="6912" width="10.7265625" style="9" customWidth="1"/>
    <col min="6913" max="6913" width="12" style="9" customWidth="1"/>
    <col min="6914" max="6917" width="9.1796875" style="9"/>
    <col min="6918" max="6919" width="10.7265625" style="9" customWidth="1"/>
    <col min="6920" max="7152" width="9.1796875" style="9"/>
    <col min="7153" max="7153" width="7.453125" style="9" customWidth="1"/>
    <col min="7154" max="7154" width="29.453125" style="9" customWidth="1"/>
    <col min="7155" max="7155" width="17.81640625" style="9" customWidth="1"/>
    <col min="7156" max="7156" width="16.7265625" style="9" customWidth="1"/>
    <col min="7157" max="7160" width="10.7265625" style="9" customWidth="1"/>
    <col min="7161" max="7161" width="12.7265625" style="9" customWidth="1"/>
    <col min="7162" max="7162" width="12.1796875" style="9" customWidth="1"/>
    <col min="7163" max="7164" width="10.7265625" style="9" customWidth="1"/>
    <col min="7165" max="7165" width="12.7265625" style="9" customWidth="1"/>
    <col min="7166" max="7166" width="10.7265625" style="9" customWidth="1"/>
    <col min="7167" max="7167" width="13.54296875" style="9" customWidth="1"/>
    <col min="7168" max="7168" width="10.7265625" style="9" customWidth="1"/>
    <col min="7169" max="7169" width="12" style="9" customWidth="1"/>
    <col min="7170" max="7173" width="9.1796875" style="9"/>
    <col min="7174" max="7175" width="10.7265625" style="9" customWidth="1"/>
    <col min="7176" max="7408" width="9.1796875" style="9"/>
    <col min="7409" max="7409" width="7.453125" style="9" customWidth="1"/>
    <col min="7410" max="7410" width="29.453125" style="9" customWidth="1"/>
    <col min="7411" max="7411" width="17.81640625" style="9" customWidth="1"/>
    <col min="7412" max="7412" width="16.7265625" style="9" customWidth="1"/>
    <col min="7413" max="7416" width="10.7265625" style="9" customWidth="1"/>
    <col min="7417" max="7417" width="12.7265625" style="9" customWidth="1"/>
    <col min="7418" max="7418" width="12.1796875" style="9" customWidth="1"/>
    <col min="7419" max="7420" width="10.7265625" style="9" customWidth="1"/>
    <col min="7421" max="7421" width="12.7265625" style="9" customWidth="1"/>
    <col min="7422" max="7422" width="10.7265625" style="9" customWidth="1"/>
    <col min="7423" max="7423" width="13.54296875" style="9" customWidth="1"/>
    <col min="7424" max="7424" width="10.7265625" style="9" customWidth="1"/>
    <col min="7425" max="7425" width="12" style="9" customWidth="1"/>
    <col min="7426" max="7429" width="9.1796875" style="9"/>
    <col min="7430" max="7431" width="10.7265625" style="9" customWidth="1"/>
    <col min="7432" max="7664" width="9.1796875" style="9"/>
    <col min="7665" max="7665" width="7.453125" style="9" customWidth="1"/>
    <col min="7666" max="7666" width="29.453125" style="9" customWidth="1"/>
    <col min="7667" max="7667" width="17.81640625" style="9" customWidth="1"/>
    <col min="7668" max="7668" width="16.7265625" style="9" customWidth="1"/>
    <col min="7669" max="7672" width="10.7265625" style="9" customWidth="1"/>
    <col min="7673" max="7673" width="12.7265625" style="9" customWidth="1"/>
    <col min="7674" max="7674" width="12.1796875" style="9" customWidth="1"/>
    <col min="7675" max="7676" width="10.7265625" style="9" customWidth="1"/>
    <col min="7677" max="7677" width="12.7265625" style="9" customWidth="1"/>
    <col min="7678" max="7678" width="10.7265625" style="9" customWidth="1"/>
    <col min="7679" max="7679" width="13.54296875" style="9" customWidth="1"/>
    <col min="7680" max="7680" width="10.7265625" style="9" customWidth="1"/>
    <col min="7681" max="7681" width="12" style="9" customWidth="1"/>
    <col min="7682" max="7685" width="9.1796875" style="9"/>
    <col min="7686" max="7687" width="10.7265625" style="9" customWidth="1"/>
    <col min="7688" max="7920" width="9.1796875" style="9"/>
    <col min="7921" max="7921" width="7.453125" style="9" customWidth="1"/>
    <col min="7922" max="7922" width="29.453125" style="9" customWidth="1"/>
    <col min="7923" max="7923" width="17.81640625" style="9" customWidth="1"/>
    <col min="7924" max="7924" width="16.7265625" style="9" customWidth="1"/>
    <col min="7925" max="7928" width="10.7265625" style="9" customWidth="1"/>
    <col min="7929" max="7929" width="12.7265625" style="9" customWidth="1"/>
    <col min="7930" max="7930" width="12.1796875" style="9" customWidth="1"/>
    <col min="7931" max="7932" width="10.7265625" style="9" customWidth="1"/>
    <col min="7933" max="7933" width="12.7265625" style="9" customWidth="1"/>
    <col min="7934" max="7934" width="10.7265625" style="9" customWidth="1"/>
    <col min="7935" max="7935" width="13.54296875" style="9" customWidth="1"/>
    <col min="7936" max="7936" width="10.7265625" style="9" customWidth="1"/>
    <col min="7937" max="7937" width="12" style="9" customWidth="1"/>
    <col min="7938" max="7941" width="9.1796875" style="9"/>
    <col min="7942" max="7943" width="10.7265625" style="9" customWidth="1"/>
    <col min="7944" max="8176" width="9.1796875" style="9"/>
    <col min="8177" max="8177" width="7.453125" style="9" customWidth="1"/>
    <col min="8178" max="8178" width="29.453125" style="9" customWidth="1"/>
    <col min="8179" max="8179" width="17.81640625" style="9" customWidth="1"/>
    <col min="8180" max="8180" width="16.7265625" style="9" customWidth="1"/>
    <col min="8181" max="8184" width="10.7265625" style="9" customWidth="1"/>
    <col min="8185" max="8185" width="12.7265625" style="9" customWidth="1"/>
    <col min="8186" max="8186" width="12.1796875" style="9" customWidth="1"/>
    <col min="8187" max="8188" width="10.7265625" style="9" customWidth="1"/>
    <col min="8189" max="8189" width="12.7265625" style="9" customWidth="1"/>
    <col min="8190" max="8190" width="10.7265625" style="9" customWidth="1"/>
    <col min="8191" max="8191" width="13.54296875" style="9" customWidth="1"/>
    <col min="8192" max="8192" width="10.7265625" style="9" customWidth="1"/>
    <col min="8193" max="8193" width="12" style="9" customWidth="1"/>
    <col min="8194" max="8197" width="9.1796875" style="9"/>
    <col min="8198" max="8199" width="10.7265625" style="9" customWidth="1"/>
    <col min="8200" max="8432" width="9.1796875" style="9"/>
    <col min="8433" max="8433" width="7.453125" style="9" customWidth="1"/>
    <col min="8434" max="8434" width="29.453125" style="9" customWidth="1"/>
    <col min="8435" max="8435" width="17.81640625" style="9" customWidth="1"/>
    <col min="8436" max="8436" width="16.7265625" style="9" customWidth="1"/>
    <col min="8437" max="8440" width="10.7265625" style="9" customWidth="1"/>
    <col min="8441" max="8441" width="12.7265625" style="9" customWidth="1"/>
    <col min="8442" max="8442" width="12.1796875" style="9" customWidth="1"/>
    <col min="8443" max="8444" width="10.7265625" style="9" customWidth="1"/>
    <col min="8445" max="8445" width="12.7265625" style="9" customWidth="1"/>
    <col min="8446" max="8446" width="10.7265625" style="9" customWidth="1"/>
    <col min="8447" max="8447" width="13.54296875" style="9" customWidth="1"/>
    <col min="8448" max="8448" width="10.7265625" style="9" customWidth="1"/>
    <col min="8449" max="8449" width="12" style="9" customWidth="1"/>
    <col min="8450" max="8453" width="9.1796875" style="9"/>
    <col min="8454" max="8455" width="10.7265625" style="9" customWidth="1"/>
    <col min="8456" max="8688" width="9.1796875" style="9"/>
    <col min="8689" max="8689" width="7.453125" style="9" customWidth="1"/>
    <col min="8690" max="8690" width="29.453125" style="9" customWidth="1"/>
    <col min="8691" max="8691" width="17.81640625" style="9" customWidth="1"/>
    <col min="8692" max="8692" width="16.7265625" style="9" customWidth="1"/>
    <col min="8693" max="8696" width="10.7265625" style="9" customWidth="1"/>
    <col min="8697" max="8697" width="12.7265625" style="9" customWidth="1"/>
    <col min="8698" max="8698" width="12.1796875" style="9" customWidth="1"/>
    <col min="8699" max="8700" width="10.7265625" style="9" customWidth="1"/>
    <col min="8701" max="8701" width="12.7265625" style="9" customWidth="1"/>
    <col min="8702" max="8702" width="10.7265625" style="9" customWidth="1"/>
    <col min="8703" max="8703" width="13.54296875" style="9" customWidth="1"/>
    <col min="8704" max="8704" width="10.7265625" style="9" customWidth="1"/>
    <col min="8705" max="8705" width="12" style="9" customWidth="1"/>
    <col min="8706" max="8709" width="9.1796875" style="9"/>
    <col min="8710" max="8711" width="10.7265625" style="9" customWidth="1"/>
    <col min="8712" max="8944" width="9.1796875" style="9"/>
    <col min="8945" max="8945" width="7.453125" style="9" customWidth="1"/>
    <col min="8946" max="8946" width="29.453125" style="9" customWidth="1"/>
    <col min="8947" max="8947" width="17.81640625" style="9" customWidth="1"/>
    <col min="8948" max="8948" width="16.7265625" style="9" customWidth="1"/>
    <col min="8949" max="8952" width="10.7265625" style="9" customWidth="1"/>
    <col min="8953" max="8953" width="12.7265625" style="9" customWidth="1"/>
    <col min="8954" max="8954" width="12.1796875" style="9" customWidth="1"/>
    <col min="8955" max="8956" width="10.7265625" style="9" customWidth="1"/>
    <col min="8957" max="8957" width="12.7265625" style="9" customWidth="1"/>
    <col min="8958" max="8958" width="10.7265625" style="9" customWidth="1"/>
    <col min="8959" max="8959" width="13.54296875" style="9" customWidth="1"/>
    <col min="8960" max="8960" width="10.7265625" style="9" customWidth="1"/>
    <col min="8961" max="8961" width="12" style="9" customWidth="1"/>
    <col min="8962" max="8965" width="9.1796875" style="9"/>
    <col min="8966" max="8967" width="10.7265625" style="9" customWidth="1"/>
    <col min="8968" max="9200" width="9.1796875" style="9"/>
    <col min="9201" max="9201" width="7.453125" style="9" customWidth="1"/>
    <col min="9202" max="9202" width="29.453125" style="9" customWidth="1"/>
    <col min="9203" max="9203" width="17.81640625" style="9" customWidth="1"/>
    <col min="9204" max="9204" width="16.7265625" style="9" customWidth="1"/>
    <col min="9205" max="9208" width="10.7265625" style="9" customWidth="1"/>
    <col min="9209" max="9209" width="12.7265625" style="9" customWidth="1"/>
    <col min="9210" max="9210" width="12.1796875" style="9" customWidth="1"/>
    <col min="9211" max="9212" width="10.7265625" style="9" customWidth="1"/>
    <col min="9213" max="9213" width="12.7265625" style="9" customWidth="1"/>
    <col min="9214" max="9214" width="10.7265625" style="9" customWidth="1"/>
    <col min="9215" max="9215" width="13.54296875" style="9" customWidth="1"/>
    <col min="9216" max="9216" width="10.7265625" style="9" customWidth="1"/>
    <col min="9217" max="9217" width="12" style="9" customWidth="1"/>
    <col min="9218" max="9221" width="9.1796875" style="9"/>
    <col min="9222" max="9223" width="10.7265625" style="9" customWidth="1"/>
    <col min="9224" max="9456" width="9.1796875" style="9"/>
    <col min="9457" max="9457" width="7.453125" style="9" customWidth="1"/>
    <col min="9458" max="9458" width="29.453125" style="9" customWidth="1"/>
    <col min="9459" max="9459" width="17.81640625" style="9" customWidth="1"/>
    <col min="9460" max="9460" width="16.7265625" style="9" customWidth="1"/>
    <col min="9461" max="9464" width="10.7265625" style="9" customWidth="1"/>
    <col min="9465" max="9465" width="12.7265625" style="9" customWidth="1"/>
    <col min="9466" max="9466" width="12.1796875" style="9" customWidth="1"/>
    <col min="9467" max="9468" width="10.7265625" style="9" customWidth="1"/>
    <col min="9469" max="9469" width="12.7265625" style="9" customWidth="1"/>
    <col min="9470" max="9470" width="10.7265625" style="9" customWidth="1"/>
    <col min="9471" max="9471" width="13.54296875" style="9" customWidth="1"/>
    <col min="9472" max="9472" width="10.7265625" style="9" customWidth="1"/>
    <col min="9473" max="9473" width="12" style="9" customWidth="1"/>
    <col min="9474" max="9477" width="9.1796875" style="9"/>
    <col min="9478" max="9479" width="10.7265625" style="9" customWidth="1"/>
    <col min="9480" max="9712" width="9.1796875" style="9"/>
    <col min="9713" max="9713" width="7.453125" style="9" customWidth="1"/>
    <col min="9714" max="9714" width="29.453125" style="9" customWidth="1"/>
    <col min="9715" max="9715" width="17.81640625" style="9" customWidth="1"/>
    <col min="9716" max="9716" width="16.7265625" style="9" customWidth="1"/>
    <col min="9717" max="9720" width="10.7265625" style="9" customWidth="1"/>
    <col min="9721" max="9721" width="12.7265625" style="9" customWidth="1"/>
    <col min="9722" max="9722" width="12.1796875" style="9" customWidth="1"/>
    <col min="9723" max="9724" width="10.7265625" style="9" customWidth="1"/>
    <col min="9725" max="9725" width="12.7265625" style="9" customWidth="1"/>
    <col min="9726" max="9726" width="10.7265625" style="9" customWidth="1"/>
    <col min="9727" max="9727" width="13.54296875" style="9" customWidth="1"/>
    <col min="9728" max="9728" width="10.7265625" style="9" customWidth="1"/>
    <col min="9729" max="9729" width="12" style="9" customWidth="1"/>
    <col min="9730" max="9733" width="9.1796875" style="9"/>
    <col min="9734" max="9735" width="10.7265625" style="9" customWidth="1"/>
    <col min="9736" max="9968" width="9.1796875" style="9"/>
    <col min="9969" max="9969" width="7.453125" style="9" customWidth="1"/>
    <col min="9970" max="9970" width="29.453125" style="9" customWidth="1"/>
    <col min="9971" max="9971" width="17.81640625" style="9" customWidth="1"/>
    <col min="9972" max="9972" width="16.7265625" style="9" customWidth="1"/>
    <col min="9973" max="9976" width="10.7265625" style="9" customWidth="1"/>
    <col min="9977" max="9977" width="12.7265625" style="9" customWidth="1"/>
    <col min="9978" max="9978" width="12.1796875" style="9" customWidth="1"/>
    <col min="9979" max="9980" width="10.7265625" style="9" customWidth="1"/>
    <col min="9981" max="9981" width="12.7265625" style="9" customWidth="1"/>
    <col min="9982" max="9982" width="10.7265625" style="9" customWidth="1"/>
    <col min="9983" max="9983" width="13.54296875" style="9" customWidth="1"/>
    <col min="9984" max="9984" width="10.7265625" style="9" customWidth="1"/>
    <col min="9985" max="9985" width="12" style="9" customWidth="1"/>
    <col min="9986" max="9989" width="9.1796875" style="9"/>
    <col min="9990" max="9991" width="10.7265625" style="9" customWidth="1"/>
    <col min="9992" max="10224" width="9.1796875" style="9"/>
    <col min="10225" max="10225" width="7.453125" style="9" customWidth="1"/>
    <col min="10226" max="10226" width="29.453125" style="9" customWidth="1"/>
    <col min="10227" max="10227" width="17.81640625" style="9" customWidth="1"/>
    <col min="10228" max="10228" width="16.7265625" style="9" customWidth="1"/>
    <col min="10229" max="10232" width="10.7265625" style="9" customWidth="1"/>
    <col min="10233" max="10233" width="12.7265625" style="9" customWidth="1"/>
    <col min="10234" max="10234" width="12.1796875" style="9" customWidth="1"/>
    <col min="10235" max="10236" width="10.7265625" style="9" customWidth="1"/>
    <col min="10237" max="10237" width="12.7265625" style="9" customWidth="1"/>
    <col min="10238" max="10238" width="10.7265625" style="9" customWidth="1"/>
    <col min="10239" max="10239" width="13.54296875" style="9" customWidth="1"/>
    <col min="10240" max="10240" width="10.7265625" style="9" customWidth="1"/>
    <col min="10241" max="10241" width="12" style="9" customWidth="1"/>
    <col min="10242" max="10245" width="9.1796875" style="9"/>
    <col min="10246" max="10247" width="10.7265625" style="9" customWidth="1"/>
    <col min="10248" max="10480" width="9.1796875" style="9"/>
    <col min="10481" max="10481" width="7.453125" style="9" customWidth="1"/>
    <col min="10482" max="10482" width="29.453125" style="9" customWidth="1"/>
    <col min="10483" max="10483" width="17.81640625" style="9" customWidth="1"/>
    <col min="10484" max="10484" width="16.7265625" style="9" customWidth="1"/>
    <col min="10485" max="10488" width="10.7265625" style="9" customWidth="1"/>
    <col min="10489" max="10489" width="12.7265625" style="9" customWidth="1"/>
    <col min="10490" max="10490" width="12.1796875" style="9" customWidth="1"/>
    <col min="10491" max="10492" width="10.7265625" style="9" customWidth="1"/>
    <col min="10493" max="10493" width="12.7265625" style="9" customWidth="1"/>
    <col min="10494" max="10494" width="10.7265625" style="9" customWidth="1"/>
    <col min="10495" max="10495" width="13.54296875" style="9" customWidth="1"/>
    <col min="10496" max="10496" width="10.7265625" style="9" customWidth="1"/>
    <col min="10497" max="10497" width="12" style="9" customWidth="1"/>
    <col min="10498" max="10501" width="9.1796875" style="9"/>
    <col min="10502" max="10503" width="10.7265625" style="9" customWidth="1"/>
    <col min="10504" max="10736" width="9.1796875" style="9"/>
    <col min="10737" max="10737" width="7.453125" style="9" customWidth="1"/>
    <col min="10738" max="10738" width="29.453125" style="9" customWidth="1"/>
    <col min="10739" max="10739" width="17.81640625" style="9" customWidth="1"/>
    <col min="10740" max="10740" width="16.7265625" style="9" customWidth="1"/>
    <col min="10741" max="10744" width="10.7265625" style="9" customWidth="1"/>
    <col min="10745" max="10745" width="12.7265625" style="9" customWidth="1"/>
    <col min="10746" max="10746" width="12.1796875" style="9" customWidth="1"/>
    <col min="10747" max="10748" width="10.7265625" style="9" customWidth="1"/>
    <col min="10749" max="10749" width="12.7265625" style="9" customWidth="1"/>
    <col min="10750" max="10750" width="10.7265625" style="9" customWidth="1"/>
    <col min="10751" max="10751" width="13.54296875" style="9" customWidth="1"/>
    <col min="10752" max="10752" width="10.7265625" style="9" customWidth="1"/>
    <col min="10753" max="10753" width="12" style="9" customWidth="1"/>
    <col min="10754" max="10757" width="9.1796875" style="9"/>
    <col min="10758" max="10759" width="10.7265625" style="9" customWidth="1"/>
    <col min="10760" max="10992" width="9.1796875" style="9"/>
    <col min="10993" max="10993" width="7.453125" style="9" customWidth="1"/>
    <col min="10994" max="10994" width="29.453125" style="9" customWidth="1"/>
    <col min="10995" max="10995" width="17.81640625" style="9" customWidth="1"/>
    <col min="10996" max="10996" width="16.7265625" style="9" customWidth="1"/>
    <col min="10997" max="11000" width="10.7265625" style="9" customWidth="1"/>
    <col min="11001" max="11001" width="12.7265625" style="9" customWidth="1"/>
    <col min="11002" max="11002" width="12.1796875" style="9" customWidth="1"/>
    <col min="11003" max="11004" width="10.7265625" style="9" customWidth="1"/>
    <col min="11005" max="11005" width="12.7265625" style="9" customWidth="1"/>
    <col min="11006" max="11006" width="10.7265625" style="9" customWidth="1"/>
    <col min="11007" max="11007" width="13.54296875" style="9" customWidth="1"/>
    <col min="11008" max="11008" width="10.7265625" style="9" customWidth="1"/>
    <col min="11009" max="11009" width="12" style="9" customWidth="1"/>
    <col min="11010" max="11013" width="9.1796875" style="9"/>
    <col min="11014" max="11015" width="10.7265625" style="9" customWidth="1"/>
    <col min="11016" max="11248" width="9.1796875" style="9"/>
    <col min="11249" max="11249" width="7.453125" style="9" customWidth="1"/>
    <col min="11250" max="11250" width="29.453125" style="9" customWidth="1"/>
    <col min="11251" max="11251" width="17.81640625" style="9" customWidth="1"/>
    <col min="11252" max="11252" width="16.7265625" style="9" customWidth="1"/>
    <col min="11253" max="11256" width="10.7265625" style="9" customWidth="1"/>
    <col min="11257" max="11257" width="12.7265625" style="9" customWidth="1"/>
    <col min="11258" max="11258" width="12.1796875" style="9" customWidth="1"/>
    <col min="11259" max="11260" width="10.7265625" style="9" customWidth="1"/>
    <col min="11261" max="11261" width="12.7265625" style="9" customWidth="1"/>
    <col min="11262" max="11262" width="10.7265625" style="9" customWidth="1"/>
    <col min="11263" max="11263" width="13.54296875" style="9" customWidth="1"/>
    <col min="11264" max="11264" width="10.7265625" style="9" customWidth="1"/>
    <col min="11265" max="11265" width="12" style="9" customWidth="1"/>
    <col min="11266" max="11269" width="9.1796875" style="9"/>
    <col min="11270" max="11271" width="10.7265625" style="9" customWidth="1"/>
    <col min="11272" max="11504" width="9.1796875" style="9"/>
    <col min="11505" max="11505" width="7.453125" style="9" customWidth="1"/>
    <col min="11506" max="11506" width="29.453125" style="9" customWidth="1"/>
    <col min="11507" max="11507" width="17.81640625" style="9" customWidth="1"/>
    <col min="11508" max="11508" width="16.7265625" style="9" customWidth="1"/>
    <col min="11509" max="11512" width="10.7265625" style="9" customWidth="1"/>
    <col min="11513" max="11513" width="12.7265625" style="9" customWidth="1"/>
    <col min="11514" max="11514" width="12.1796875" style="9" customWidth="1"/>
    <col min="11515" max="11516" width="10.7265625" style="9" customWidth="1"/>
    <col min="11517" max="11517" width="12.7265625" style="9" customWidth="1"/>
    <col min="11518" max="11518" width="10.7265625" style="9" customWidth="1"/>
    <col min="11519" max="11519" width="13.54296875" style="9" customWidth="1"/>
    <col min="11520" max="11520" width="10.7265625" style="9" customWidth="1"/>
    <col min="11521" max="11521" width="12" style="9" customWidth="1"/>
    <col min="11522" max="11525" width="9.1796875" style="9"/>
    <col min="11526" max="11527" width="10.7265625" style="9" customWidth="1"/>
    <col min="11528" max="11760" width="9.1796875" style="9"/>
    <col min="11761" max="11761" width="7.453125" style="9" customWidth="1"/>
    <col min="11762" max="11762" width="29.453125" style="9" customWidth="1"/>
    <col min="11763" max="11763" width="17.81640625" style="9" customWidth="1"/>
    <col min="11764" max="11764" width="16.7265625" style="9" customWidth="1"/>
    <col min="11765" max="11768" width="10.7265625" style="9" customWidth="1"/>
    <col min="11769" max="11769" width="12.7265625" style="9" customWidth="1"/>
    <col min="11770" max="11770" width="12.1796875" style="9" customWidth="1"/>
    <col min="11771" max="11772" width="10.7265625" style="9" customWidth="1"/>
    <col min="11773" max="11773" width="12.7265625" style="9" customWidth="1"/>
    <col min="11774" max="11774" width="10.7265625" style="9" customWidth="1"/>
    <col min="11775" max="11775" width="13.54296875" style="9" customWidth="1"/>
    <col min="11776" max="11776" width="10.7265625" style="9" customWidth="1"/>
    <col min="11777" max="11777" width="12" style="9" customWidth="1"/>
    <col min="11778" max="11781" width="9.1796875" style="9"/>
    <col min="11782" max="11783" width="10.7265625" style="9" customWidth="1"/>
    <col min="11784" max="12016" width="9.1796875" style="9"/>
    <col min="12017" max="12017" width="7.453125" style="9" customWidth="1"/>
    <col min="12018" max="12018" width="29.453125" style="9" customWidth="1"/>
    <col min="12019" max="12019" width="17.81640625" style="9" customWidth="1"/>
    <col min="12020" max="12020" width="16.7265625" style="9" customWidth="1"/>
    <col min="12021" max="12024" width="10.7265625" style="9" customWidth="1"/>
    <col min="12025" max="12025" width="12.7265625" style="9" customWidth="1"/>
    <col min="12026" max="12026" width="12.1796875" style="9" customWidth="1"/>
    <col min="12027" max="12028" width="10.7265625" style="9" customWidth="1"/>
    <col min="12029" max="12029" width="12.7265625" style="9" customWidth="1"/>
    <col min="12030" max="12030" width="10.7265625" style="9" customWidth="1"/>
    <col min="12031" max="12031" width="13.54296875" style="9" customWidth="1"/>
    <col min="12032" max="12032" width="10.7265625" style="9" customWidth="1"/>
    <col min="12033" max="12033" width="12" style="9" customWidth="1"/>
    <col min="12034" max="12037" width="9.1796875" style="9"/>
    <col min="12038" max="12039" width="10.7265625" style="9" customWidth="1"/>
    <col min="12040" max="12272" width="9.1796875" style="9"/>
    <col min="12273" max="12273" width="7.453125" style="9" customWidth="1"/>
    <col min="12274" max="12274" width="29.453125" style="9" customWidth="1"/>
    <col min="12275" max="12275" width="17.81640625" style="9" customWidth="1"/>
    <col min="12276" max="12276" width="16.7265625" style="9" customWidth="1"/>
    <col min="12277" max="12280" width="10.7265625" style="9" customWidth="1"/>
    <col min="12281" max="12281" width="12.7265625" style="9" customWidth="1"/>
    <col min="12282" max="12282" width="12.1796875" style="9" customWidth="1"/>
    <col min="12283" max="12284" width="10.7265625" style="9" customWidth="1"/>
    <col min="12285" max="12285" width="12.7265625" style="9" customWidth="1"/>
    <col min="12286" max="12286" width="10.7265625" style="9" customWidth="1"/>
    <col min="12287" max="12287" width="13.54296875" style="9" customWidth="1"/>
    <col min="12288" max="12288" width="10.7265625" style="9" customWidth="1"/>
    <col min="12289" max="12289" width="12" style="9" customWidth="1"/>
    <col min="12290" max="12293" width="9.1796875" style="9"/>
    <col min="12294" max="12295" width="10.7265625" style="9" customWidth="1"/>
    <col min="12296" max="12528" width="9.1796875" style="9"/>
    <col min="12529" max="12529" width="7.453125" style="9" customWidth="1"/>
    <col min="12530" max="12530" width="29.453125" style="9" customWidth="1"/>
    <col min="12531" max="12531" width="17.81640625" style="9" customWidth="1"/>
    <col min="12532" max="12532" width="16.7265625" style="9" customWidth="1"/>
    <col min="12533" max="12536" width="10.7265625" style="9" customWidth="1"/>
    <col min="12537" max="12537" width="12.7265625" style="9" customWidth="1"/>
    <col min="12538" max="12538" width="12.1796875" style="9" customWidth="1"/>
    <col min="12539" max="12540" width="10.7265625" style="9" customWidth="1"/>
    <col min="12541" max="12541" width="12.7265625" style="9" customWidth="1"/>
    <col min="12542" max="12542" width="10.7265625" style="9" customWidth="1"/>
    <col min="12543" max="12543" width="13.54296875" style="9" customWidth="1"/>
    <col min="12544" max="12544" width="10.7265625" style="9" customWidth="1"/>
    <col min="12545" max="12545" width="12" style="9" customWidth="1"/>
    <col min="12546" max="12549" width="9.1796875" style="9"/>
    <col min="12550" max="12551" width="10.7265625" style="9" customWidth="1"/>
    <col min="12552" max="12784" width="9.1796875" style="9"/>
    <col min="12785" max="12785" width="7.453125" style="9" customWidth="1"/>
    <col min="12786" max="12786" width="29.453125" style="9" customWidth="1"/>
    <col min="12787" max="12787" width="17.81640625" style="9" customWidth="1"/>
    <col min="12788" max="12788" width="16.7265625" style="9" customWidth="1"/>
    <col min="12789" max="12792" width="10.7265625" style="9" customWidth="1"/>
    <col min="12793" max="12793" width="12.7265625" style="9" customWidth="1"/>
    <col min="12794" max="12794" width="12.1796875" style="9" customWidth="1"/>
    <col min="12795" max="12796" width="10.7265625" style="9" customWidth="1"/>
    <col min="12797" max="12797" width="12.7265625" style="9" customWidth="1"/>
    <col min="12798" max="12798" width="10.7265625" style="9" customWidth="1"/>
    <col min="12799" max="12799" width="13.54296875" style="9" customWidth="1"/>
    <col min="12800" max="12800" width="10.7265625" style="9" customWidth="1"/>
    <col min="12801" max="12801" width="12" style="9" customWidth="1"/>
    <col min="12802" max="12805" width="9.1796875" style="9"/>
    <col min="12806" max="12807" width="10.7265625" style="9" customWidth="1"/>
    <col min="12808" max="13040" width="9.1796875" style="9"/>
    <col min="13041" max="13041" width="7.453125" style="9" customWidth="1"/>
    <col min="13042" max="13042" width="29.453125" style="9" customWidth="1"/>
    <col min="13043" max="13043" width="17.81640625" style="9" customWidth="1"/>
    <col min="13044" max="13044" width="16.7265625" style="9" customWidth="1"/>
    <col min="13045" max="13048" width="10.7265625" style="9" customWidth="1"/>
    <col min="13049" max="13049" width="12.7265625" style="9" customWidth="1"/>
    <col min="13050" max="13050" width="12.1796875" style="9" customWidth="1"/>
    <col min="13051" max="13052" width="10.7265625" style="9" customWidth="1"/>
    <col min="13053" max="13053" width="12.7265625" style="9" customWidth="1"/>
    <col min="13054" max="13054" width="10.7265625" style="9" customWidth="1"/>
    <col min="13055" max="13055" width="13.54296875" style="9" customWidth="1"/>
    <col min="13056" max="13056" width="10.7265625" style="9" customWidth="1"/>
    <col min="13057" max="13057" width="12" style="9" customWidth="1"/>
    <col min="13058" max="13061" width="9.1796875" style="9"/>
    <col min="13062" max="13063" width="10.7265625" style="9" customWidth="1"/>
    <col min="13064" max="13296" width="9.1796875" style="9"/>
    <col min="13297" max="13297" width="7.453125" style="9" customWidth="1"/>
    <col min="13298" max="13298" width="29.453125" style="9" customWidth="1"/>
    <col min="13299" max="13299" width="17.81640625" style="9" customWidth="1"/>
    <col min="13300" max="13300" width="16.7265625" style="9" customWidth="1"/>
    <col min="13301" max="13304" width="10.7265625" style="9" customWidth="1"/>
    <col min="13305" max="13305" width="12.7265625" style="9" customWidth="1"/>
    <col min="13306" max="13306" width="12.1796875" style="9" customWidth="1"/>
    <col min="13307" max="13308" width="10.7265625" style="9" customWidth="1"/>
    <col min="13309" max="13309" width="12.7265625" style="9" customWidth="1"/>
    <col min="13310" max="13310" width="10.7265625" style="9" customWidth="1"/>
    <col min="13311" max="13311" width="13.54296875" style="9" customWidth="1"/>
    <col min="13312" max="13312" width="10.7265625" style="9" customWidth="1"/>
    <col min="13313" max="13313" width="12" style="9" customWidth="1"/>
    <col min="13314" max="13317" width="9.1796875" style="9"/>
    <col min="13318" max="13319" width="10.7265625" style="9" customWidth="1"/>
    <col min="13320" max="13552" width="9.1796875" style="9"/>
    <col min="13553" max="13553" width="7.453125" style="9" customWidth="1"/>
    <col min="13554" max="13554" width="29.453125" style="9" customWidth="1"/>
    <col min="13555" max="13555" width="17.81640625" style="9" customWidth="1"/>
    <col min="13556" max="13556" width="16.7265625" style="9" customWidth="1"/>
    <col min="13557" max="13560" width="10.7265625" style="9" customWidth="1"/>
    <col min="13561" max="13561" width="12.7265625" style="9" customWidth="1"/>
    <col min="13562" max="13562" width="12.1796875" style="9" customWidth="1"/>
    <col min="13563" max="13564" width="10.7265625" style="9" customWidth="1"/>
    <col min="13565" max="13565" width="12.7265625" style="9" customWidth="1"/>
    <col min="13566" max="13566" width="10.7265625" style="9" customWidth="1"/>
    <col min="13567" max="13567" width="13.54296875" style="9" customWidth="1"/>
    <col min="13568" max="13568" width="10.7265625" style="9" customWidth="1"/>
    <col min="13569" max="13569" width="12" style="9" customWidth="1"/>
    <col min="13570" max="13573" width="9.1796875" style="9"/>
    <col min="13574" max="13575" width="10.7265625" style="9" customWidth="1"/>
    <col min="13576" max="13808" width="9.1796875" style="9"/>
    <col min="13809" max="13809" width="7.453125" style="9" customWidth="1"/>
    <col min="13810" max="13810" width="29.453125" style="9" customWidth="1"/>
    <col min="13811" max="13811" width="17.81640625" style="9" customWidth="1"/>
    <col min="13812" max="13812" width="16.7265625" style="9" customWidth="1"/>
    <col min="13813" max="13816" width="10.7265625" style="9" customWidth="1"/>
    <col min="13817" max="13817" width="12.7265625" style="9" customWidth="1"/>
    <col min="13818" max="13818" width="12.1796875" style="9" customWidth="1"/>
    <col min="13819" max="13820" width="10.7265625" style="9" customWidth="1"/>
    <col min="13821" max="13821" width="12.7265625" style="9" customWidth="1"/>
    <col min="13822" max="13822" width="10.7265625" style="9" customWidth="1"/>
    <col min="13823" max="13823" width="13.54296875" style="9" customWidth="1"/>
    <col min="13824" max="13824" width="10.7265625" style="9" customWidth="1"/>
    <col min="13825" max="13825" width="12" style="9" customWidth="1"/>
    <col min="13826" max="13829" width="9.1796875" style="9"/>
    <col min="13830" max="13831" width="10.7265625" style="9" customWidth="1"/>
    <col min="13832" max="14064" width="9.1796875" style="9"/>
    <col min="14065" max="14065" width="7.453125" style="9" customWidth="1"/>
    <col min="14066" max="14066" width="29.453125" style="9" customWidth="1"/>
    <col min="14067" max="14067" width="17.81640625" style="9" customWidth="1"/>
    <col min="14068" max="14068" width="16.7265625" style="9" customWidth="1"/>
    <col min="14069" max="14072" width="10.7265625" style="9" customWidth="1"/>
    <col min="14073" max="14073" width="12.7265625" style="9" customWidth="1"/>
    <col min="14074" max="14074" width="12.1796875" style="9" customWidth="1"/>
    <col min="14075" max="14076" width="10.7265625" style="9" customWidth="1"/>
    <col min="14077" max="14077" width="12.7265625" style="9" customWidth="1"/>
    <col min="14078" max="14078" width="10.7265625" style="9" customWidth="1"/>
    <col min="14079" max="14079" width="13.54296875" style="9" customWidth="1"/>
    <col min="14080" max="14080" width="10.7265625" style="9" customWidth="1"/>
    <col min="14081" max="14081" width="12" style="9" customWidth="1"/>
    <col min="14082" max="14085" width="9.1796875" style="9"/>
    <col min="14086" max="14087" width="10.7265625" style="9" customWidth="1"/>
    <col min="14088" max="14320" width="9.1796875" style="9"/>
    <col min="14321" max="14321" width="7.453125" style="9" customWidth="1"/>
    <col min="14322" max="14322" width="29.453125" style="9" customWidth="1"/>
    <col min="14323" max="14323" width="17.81640625" style="9" customWidth="1"/>
    <col min="14324" max="14324" width="16.7265625" style="9" customWidth="1"/>
    <col min="14325" max="14328" width="10.7265625" style="9" customWidth="1"/>
    <col min="14329" max="14329" width="12.7265625" style="9" customWidth="1"/>
    <col min="14330" max="14330" width="12.1796875" style="9" customWidth="1"/>
    <col min="14331" max="14332" width="10.7265625" style="9" customWidth="1"/>
    <col min="14333" max="14333" width="12.7265625" style="9" customWidth="1"/>
    <col min="14334" max="14334" width="10.7265625" style="9" customWidth="1"/>
    <col min="14335" max="14335" width="13.54296875" style="9" customWidth="1"/>
    <col min="14336" max="14336" width="10.7265625" style="9" customWidth="1"/>
    <col min="14337" max="14337" width="12" style="9" customWidth="1"/>
    <col min="14338" max="14341" width="9.1796875" style="9"/>
    <col min="14342" max="14343" width="10.7265625" style="9" customWidth="1"/>
    <col min="14344" max="14576" width="9.1796875" style="9"/>
    <col min="14577" max="14577" width="7.453125" style="9" customWidth="1"/>
    <col min="14578" max="14578" width="29.453125" style="9" customWidth="1"/>
    <col min="14579" max="14579" width="17.81640625" style="9" customWidth="1"/>
    <col min="14580" max="14580" width="16.7265625" style="9" customWidth="1"/>
    <col min="14581" max="14584" width="10.7265625" style="9" customWidth="1"/>
    <col min="14585" max="14585" width="12.7265625" style="9" customWidth="1"/>
    <col min="14586" max="14586" width="12.1796875" style="9" customWidth="1"/>
    <col min="14587" max="14588" width="10.7265625" style="9" customWidth="1"/>
    <col min="14589" max="14589" width="12.7265625" style="9" customWidth="1"/>
    <col min="14590" max="14590" width="10.7265625" style="9" customWidth="1"/>
    <col min="14591" max="14591" width="13.54296875" style="9" customWidth="1"/>
    <col min="14592" max="14592" width="10.7265625" style="9" customWidth="1"/>
    <col min="14593" max="14593" width="12" style="9" customWidth="1"/>
    <col min="14594" max="14597" width="9.1796875" style="9"/>
    <col min="14598" max="14599" width="10.7265625" style="9" customWidth="1"/>
    <col min="14600" max="14832" width="9.1796875" style="9"/>
    <col min="14833" max="14833" width="7.453125" style="9" customWidth="1"/>
    <col min="14834" max="14834" width="29.453125" style="9" customWidth="1"/>
    <col min="14835" max="14835" width="17.81640625" style="9" customWidth="1"/>
    <col min="14836" max="14836" width="16.7265625" style="9" customWidth="1"/>
    <col min="14837" max="14840" width="10.7265625" style="9" customWidth="1"/>
    <col min="14841" max="14841" width="12.7265625" style="9" customWidth="1"/>
    <col min="14842" max="14842" width="12.1796875" style="9" customWidth="1"/>
    <col min="14843" max="14844" width="10.7265625" style="9" customWidth="1"/>
    <col min="14845" max="14845" width="12.7265625" style="9" customWidth="1"/>
    <col min="14846" max="14846" width="10.7265625" style="9" customWidth="1"/>
    <col min="14847" max="14847" width="13.54296875" style="9" customWidth="1"/>
    <col min="14848" max="14848" width="10.7265625" style="9" customWidth="1"/>
    <col min="14849" max="14849" width="12" style="9" customWidth="1"/>
    <col min="14850" max="14853" width="9.1796875" style="9"/>
    <col min="14854" max="14855" width="10.7265625" style="9" customWidth="1"/>
    <col min="14856" max="15088" width="9.1796875" style="9"/>
    <col min="15089" max="15089" width="7.453125" style="9" customWidth="1"/>
    <col min="15090" max="15090" width="29.453125" style="9" customWidth="1"/>
    <col min="15091" max="15091" width="17.81640625" style="9" customWidth="1"/>
    <col min="15092" max="15092" width="16.7265625" style="9" customWidth="1"/>
    <col min="15093" max="15096" width="10.7265625" style="9" customWidth="1"/>
    <col min="15097" max="15097" width="12.7265625" style="9" customWidth="1"/>
    <col min="15098" max="15098" width="12.1796875" style="9" customWidth="1"/>
    <col min="15099" max="15100" width="10.7265625" style="9" customWidth="1"/>
    <col min="15101" max="15101" width="12.7265625" style="9" customWidth="1"/>
    <col min="15102" max="15102" width="10.7265625" style="9" customWidth="1"/>
    <col min="15103" max="15103" width="13.54296875" style="9" customWidth="1"/>
    <col min="15104" max="15104" width="10.7265625" style="9" customWidth="1"/>
    <col min="15105" max="15105" width="12" style="9" customWidth="1"/>
    <col min="15106" max="15109" width="9.1796875" style="9"/>
    <col min="15110" max="15111" width="10.7265625" style="9" customWidth="1"/>
    <col min="15112" max="15344" width="9.1796875" style="9"/>
    <col min="15345" max="15345" width="7.453125" style="9" customWidth="1"/>
    <col min="15346" max="15346" width="29.453125" style="9" customWidth="1"/>
    <col min="15347" max="15347" width="17.81640625" style="9" customWidth="1"/>
    <col min="15348" max="15348" width="16.7265625" style="9" customWidth="1"/>
    <col min="15349" max="15352" width="10.7265625" style="9" customWidth="1"/>
    <col min="15353" max="15353" width="12.7265625" style="9" customWidth="1"/>
    <col min="15354" max="15354" width="12.1796875" style="9" customWidth="1"/>
    <col min="15355" max="15356" width="10.7265625" style="9" customWidth="1"/>
    <col min="15357" max="15357" width="12.7265625" style="9" customWidth="1"/>
    <col min="15358" max="15358" width="10.7265625" style="9" customWidth="1"/>
    <col min="15359" max="15359" width="13.54296875" style="9" customWidth="1"/>
    <col min="15360" max="15360" width="10.7265625" style="9" customWidth="1"/>
    <col min="15361" max="15361" width="12" style="9" customWidth="1"/>
    <col min="15362" max="15365" width="9.1796875" style="9"/>
    <col min="15366" max="15367" width="10.7265625" style="9" customWidth="1"/>
    <col min="15368" max="15600" width="9.1796875" style="9"/>
    <col min="15601" max="15601" width="7.453125" style="9" customWidth="1"/>
    <col min="15602" max="15602" width="29.453125" style="9" customWidth="1"/>
    <col min="15603" max="15603" width="17.81640625" style="9" customWidth="1"/>
    <col min="15604" max="15604" width="16.7265625" style="9" customWidth="1"/>
    <col min="15605" max="15608" width="10.7265625" style="9" customWidth="1"/>
    <col min="15609" max="15609" width="12.7265625" style="9" customWidth="1"/>
    <col min="15610" max="15610" width="12.1796875" style="9" customWidth="1"/>
    <col min="15611" max="15612" width="10.7265625" style="9" customWidth="1"/>
    <col min="15613" max="15613" width="12.7265625" style="9" customWidth="1"/>
    <col min="15614" max="15614" width="10.7265625" style="9" customWidth="1"/>
    <col min="15615" max="15615" width="13.54296875" style="9" customWidth="1"/>
    <col min="15616" max="15616" width="10.7265625" style="9" customWidth="1"/>
    <col min="15617" max="15617" width="12" style="9" customWidth="1"/>
    <col min="15618" max="15621" width="9.1796875" style="9"/>
    <col min="15622" max="15623" width="10.7265625" style="9" customWidth="1"/>
    <col min="15624" max="15856" width="9.1796875" style="9"/>
    <col min="15857" max="15857" width="7.453125" style="9" customWidth="1"/>
    <col min="15858" max="15858" width="29.453125" style="9" customWidth="1"/>
    <col min="15859" max="15859" width="17.81640625" style="9" customWidth="1"/>
    <col min="15860" max="15860" width="16.7265625" style="9" customWidth="1"/>
    <col min="15861" max="15864" width="10.7265625" style="9" customWidth="1"/>
    <col min="15865" max="15865" width="12.7265625" style="9" customWidth="1"/>
    <col min="15866" max="15866" width="12.1796875" style="9" customWidth="1"/>
    <col min="15867" max="15868" width="10.7265625" style="9" customWidth="1"/>
    <col min="15869" max="15869" width="12.7265625" style="9" customWidth="1"/>
    <col min="15870" max="15870" width="10.7265625" style="9" customWidth="1"/>
    <col min="15871" max="15871" width="13.54296875" style="9" customWidth="1"/>
    <col min="15872" max="15872" width="10.7265625" style="9" customWidth="1"/>
    <col min="15873" max="15873" width="12" style="9" customWidth="1"/>
    <col min="15874" max="15877" width="9.1796875" style="9"/>
    <col min="15878" max="15879" width="10.7265625" style="9" customWidth="1"/>
    <col min="15880" max="16112" width="9.1796875" style="9"/>
    <col min="16113" max="16113" width="7.453125" style="9" customWidth="1"/>
    <col min="16114" max="16114" width="29.453125" style="9" customWidth="1"/>
    <col min="16115" max="16115" width="17.81640625" style="9" customWidth="1"/>
    <col min="16116" max="16116" width="16.7265625" style="9" customWidth="1"/>
    <col min="16117" max="16120" width="10.7265625" style="9" customWidth="1"/>
    <col min="16121" max="16121" width="12.7265625" style="9" customWidth="1"/>
    <col min="16122" max="16122" width="12.1796875" style="9" customWidth="1"/>
    <col min="16123" max="16124" width="10.7265625" style="9" customWidth="1"/>
    <col min="16125" max="16125" width="12.7265625" style="9" customWidth="1"/>
    <col min="16126" max="16126" width="10.7265625" style="9" customWidth="1"/>
    <col min="16127" max="16127" width="13.54296875" style="9" customWidth="1"/>
    <col min="16128" max="16128" width="10.7265625" style="9" customWidth="1"/>
    <col min="16129" max="16129" width="12" style="9" customWidth="1"/>
    <col min="16130" max="16133" width="9.1796875" style="9"/>
    <col min="16134" max="16135" width="10.7265625" style="9" customWidth="1"/>
    <col min="16136" max="16384" width="9.1796875" style="9"/>
  </cols>
  <sheetData>
    <row r="1" spans="1:18" ht="20.5" thickBot="1" x14ac:dyDescent="0.4">
      <c r="C1" s="3"/>
      <c r="D1" s="4" t="s">
        <v>598</v>
      </c>
      <c r="E1" s="5"/>
      <c r="F1" s="6"/>
      <c r="G1" s="7"/>
      <c r="H1" s="7"/>
      <c r="I1" s="8"/>
      <c r="J1" s="8"/>
      <c r="K1" s="131"/>
      <c r="M1" s="237"/>
      <c r="Q1" s="9"/>
    </row>
    <row r="2" spans="1:18" s="18" customFormat="1" ht="25.5" customHeight="1" thickTop="1" thickBot="1" x14ac:dyDescent="0.4">
      <c r="A2" s="11"/>
      <c r="B2" s="12"/>
      <c r="C2" s="13" t="s">
        <v>0</v>
      </c>
      <c r="D2" s="14" t="s">
        <v>1</v>
      </c>
      <c r="E2" s="15" t="s">
        <v>2</v>
      </c>
      <c r="F2" s="14" t="s">
        <v>3</v>
      </c>
      <c r="G2" s="160" t="s">
        <v>256</v>
      </c>
      <c r="H2" s="160" t="s">
        <v>257</v>
      </c>
      <c r="I2" s="161" t="s">
        <v>258</v>
      </c>
      <c r="J2" s="240" t="s">
        <v>259</v>
      </c>
      <c r="K2" s="241" t="s">
        <v>260</v>
      </c>
      <c r="L2" s="254" t="s">
        <v>261</v>
      </c>
      <c r="M2" s="236" t="s">
        <v>514</v>
      </c>
      <c r="N2" s="203" t="s">
        <v>493</v>
      </c>
      <c r="O2" s="290"/>
      <c r="Q2" s="14" t="s">
        <v>1</v>
      </c>
      <c r="R2" s="203" t="s">
        <v>493</v>
      </c>
    </row>
    <row r="3" spans="1:18" ht="26.5" thickTop="1" x14ac:dyDescent="0.35">
      <c r="A3" s="1">
        <v>1</v>
      </c>
      <c r="B3" s="26" t="s">
        <v>4</v>
      </c>
      <c r="C3" s="27" t="s">
        <v>5</v>
      </c>
      <c r="D3" s="28" t="s">
        <v>6</v>
      </c>
      <c r="E3" s="29">
        <v>9111045374085</v>
      </c>
      <c r="F3" s="30">
        <v>2323969</v>
      </c>
      <c r="G3" s="339">
        <v>45937</v>
      </c>
      <c r="H3" s="218">
        <v>45949</v>
      </c>
      <c r="I3" s="250">
        <f t="shared" ref="I3:I67" si="0">IF(AND(+G3&lt;&gt;"",+H3&lt;&gt;""),+H3-G3,"")</f>
        <v>12</v>
      </c>
      <c r="J3" s="229"/>
      <c r="K3" s="229"/>
      <c r="L3" s="256" t="str">
        <f>IF(AND(+J3&lt;&gt;"",+K3&lt;&gt;""),+K3-J3,"")</f>
        <v/>
      </c>
      <c r="M3" s="258"/>
      <c r="N3" s="204" t="s">
        <v>494</v>
      </c>
      <c r="Q3" s="28" t="s">
        <v>6</v>
      </c>
      <c r="R3" s="204" t="s">
        <v>494</v>
      </c>
    </row>
    <row r="4" spans="1:18" ht="39" x14ac:dyDescent="0.35">
      <c r="A4" s="1">
        <v>2</v>
      </c>
      <c r="B4" s="35" t="s">
        <v>7</v>
      </c>
      <c r="C4" s="36" t="s">
        <v>8</v>
      </c>
      <c r="D4" s="37" t="s">
        <v>9</v>
      </c>
      <c r="E4" s="38">
        <v>7004026418082</v>
      </c>
      <c r="F4" s="39">
        <v>1066576</v>
      </c>
      <c r="G4" s="216">
        <v>45945</v>
      </c>
      <c r="H4" s="216">
        <v>45957</v>
      </c>
      <c r="I4" s="250">
        <f t="shared" si="0"/>
        <v>12</v>
      </c>
      <c r="J4" s="229"/>
      <c r="K4" s="229"/>
      <c r="L4" s="256" t="str">
        <f t="shared" ref="L4:L68" si="1">IF(AND(+J4&lt;&gt;"",+K4&lt;&gt;""),+K4-J4,"")</f>
        <v/>
      </c>
      <c r="M4" s="258"/>
      <c r="N4" s="205" t="s">
        <v>495</v>
      </c>
      <c r="O4" s="290" t="s">
        <v>580</v>
      </c>
      <c r="Q4" s="37" t="s">
        <v>9</v>
      </c>
      <c r="R4" s="205" t="s">
        <v>495</v>
      </c>
    </row>
    <row r="5" spans="1:18" ht="26" x14ac:dyDescent="0.35">
      <c r="A5" s="310">
        <v>3</v>
      </c>
      <c r="B5" s="35" t="s">
        <v>10</v>
      </c>
      <c r="C5" s="300" t="s">
        <v>11</v>
      </c>
      <c r="D5" s="301" t="s">
        <v>262</v>
      </c>
      <c r="E5" s="302">
        <v>7410185829086</v>
      </c>
      <c r="F5" s="303">
        <v>843459</v>
      </c>
      <c r="G5" s="216">
        <v>45925</v>
      </c>
      <c r="H5" s="216">
        <v>45937</v>
      </c>
      <c r="I5" s="250">
        <f t="shared" si="0"/>
        <v>12</v>
      </c>
      <c r="J5" s="229">
        <v>45938</v>
      </c>
      <c r="K5" s="229">
        <v>45947</v>
      </c>
      <c r="L5" s="256">
        <f t="shared" si="1"/>
        <v>9</v>
      </c>
      <c r="M5" s="258" t="e">
        <f>#REF!-L5</f>
        <v>#REF!</v>
      </c>
      <c r="N5" s="205" t="s">
        <v>495</v>
      </c>
      <c r="Q5" s="301" t="s">
        <v>262</v>
      </c>
      <c r="R5" s="205" t="s">
        <v>495</v>
      </c>
    </row>
    <row r="6" spans="1:18" ht="26" hidden="1" x14ac:dyDescent="0.35">
      <c r="B6" s="35"/>
      <c r="C6" s="43">
        <v>5</v>
      </c>
      <c r="D6" s="44" t="s">
        <v>13</v>
      </c>
      <c r="E6" s="45">
        <v>6404046670087</v>
      </c>
      <c r="F6" s="46">
        <v>319084</v>
      </c>
      <c r="G6" s="219"/>
      <c r="H6" s="219"/>
      <c r="I6" s="250" t="str">
        <f t="shared" si="0"/>
        <v/>
      </c>
      <c r="J6" s="229"/>
      <c r="K6" s="230"/>
      <c r="L6" s="256" t="str">
        <f t="shared" si="1"/>
        <v/>
      </c>
      <c r="M6" s="258"/>
      <c r="N6" s="137" t="s">
        <v>283</v>
      </c>
      <c r="Q6" s="44" t="s">
        <v>13</v>
      </c>
      <c r="R6" s="137" t="s">
        <v>283</v>
      </c>
    </row>
    <row r="7" spans="1:18" ht="26" x14ac:dyDescent="0.35">
      <c r="A7" s="1">
        <v>4</v>
      </c>
      <c r="B7" s="35" t="s">
        <v>4</v>
      </c>
      <c r="C7" s="49" t="s">
        <v>14</v>
      </c>
      <c r="D7" s="50" t="s">
        <v>15</v>
      </c>
      <c r="E7" s="51">
        <v>6803185180081</v>
      </c>
      <c r="F7" s="52">
        <v>94105</v>
      </c>
      <c r="G7" s="220">
        <v>45883</v>
      </c>
      <c r="H7" s="220">
        <v>45895</v>
      </c>
      <c r="I7" s="250">
        <f t="shared" si="0"/>
        <v>12</v>
      </c>
      <c r="J7" s="229"/>
      <c r="K7" s="231"/>
      <c r="L7" s="256" t="str">
        <f t="shared" si="1"/>
        <v/>
      </c>
      <c r="M7" s="258"/>
      <c r="N7" s="206" t="s">
        <v>287</v>
      </c>
      <c r="Q7" s="50" t="s">
        <v>15</v>
      </c>
      <c r="R7" s="206" t="s">
        <v>287</v>
      </c>
    </row>
    <row r="8" spans="1:18" ht="46.5" customHeight="1" x14ac:dyDescent="0.35">
      <c r="A8" s="310">
        <v>5</v>
      </c>
      <c r="B8" s="57" t="s">
        <v>16</v>
      </c>
      <c r="C8" s="300" t="s">
        <v>17</v>
      </c>
      <c r="D8" s="304" t="s">
        <v>18</v>
      </c>
      <c r="E8" s="302">
        <v>6703036653080</v>
      </c>
      <c r="F8" s="303">
        <v>190277</v>
      </c>
      <c r="G8" s="216">
        <v>45921</v>
      </c>
      <c r="H8" s="334">
        <v>45933</v>
      </c>
      <c r="I8" s="250">
        <f t="shared" si="0"/>
        <v>12</v>
      </c>
      <c r="J8" s="229"/>
      <c r="K8" s="229"/>
      <c r="L8" s="256" t="str">
        <f t="shared" si="1"/>
        <v/>
      </c>
      <c r="M8" s="258"/>
      <c r="N8" s="205" t="s">
        <v>494</v>
      </c>
      <c r="Q8" s="304" t="s">
        <v>18</v>
      </c>
      <c r="R8" s="205" t="s">
        <v>494</v>
      </c>
    </row>
    <row r="9" spans="1:18" ht="39" x14ac:dyDescent="0.35">
      <c r="A9" s="1">
        <v>6</v>
      </c>
      <c r="B9" s="35" t="s">
        <v>19</v>
      </c>
      <c r="C9" s="36" t="s">
        <v>20</v>
      </c>
      <c r="D9" s="58" t="s">
        <v>21</v>
      </c>
      <c r="E9" s="38">
        <v>8305075290085</v>
      </c>
      <c r="F9" s="39">
        <v>2573008</v>
      </c>
      <c r="G9" s="334">
        <v>45942</v>
      </c>
      <c r="H9" s="216">
        <v>45954</v>
      </c>
      <c r="I9" s="250">
        <f t="shared" si="0"/>
        <v>12</v>
      </c>
      <c r="J9" s="229"/>
      <c r="K9" s="229"/>
      <c r="L9" s="256" t="str">
        <f t="shared" si="1"/>
        <v/>
      </c>
      <c r="M9" s="258"/>
      <c r="N9" s="205" t="s">
        <v>495</v>
      </c>
      <c r="Q9" s="58" t="s">
        <v>21</v>
      </c>
      <c r="R9" s="205" t="s">
        <v>495</v>
      </c>
    </row>
    <row r="10" spans="1:18" s="62" customFormat="1" ht="26" hidden="1" x14ac:dyDescent="0.35">
      <c r="A10" s="1"/>
      <c r="B10" s="60"/>
      <c r="C10" s="43">
        <v>8</v>
      </c>
      <c r="D10" s="44" t="s">
        <v>22</v>
      </c>
      <c r="E10" s="45">
        <v>8212126921082</v>
      </c>
      <c r="F10" s="46">
        <v>2506665</v>
      </c>
      <c r="G10" s="219"/>
      <c r="H10" s="219"/>
      <c r="I10" s="250" t="str">
        <f t="shared" si="0"/>
        <v/>
      </c>
      <c r="J10" s="229"/>
      <c r="K10" s="230"/>
      <c r="L10" s="256" t="str">
        <f t="shared" si="1"/>
        <v/>
      </c>
      <c r="M10" s="258"/>
      <c r="N10" s="137" t="s">
        <v>292</v>
      </c>
      <c r="O10" s="291"/>
      <c r="Q10" s="44" t="s">
        <v>22</v>
      </c>
      <c r="R10" s="137" t="s">
        <v>292</v>
      </c>
    </row>
    <row r="11" spans="1:18" ht="39" x14ac:dyDescent="0.35">
      <c r="A11" s="1">
        <v>7</v>
      </c>
      <c r="B11" s="35" t="s">
        <v>23</v>
      </c>
      <c r="C11" s="36" t="s">
        <v>24</v>
      </c>
      <c r="D11" s="37" t="s">
        <v>25</v>
      </c>
      <c r="E11" s="38">
        <v>8404025648086</v>
      </c>
      <c r="F11" s="39">
        <v>1143870</v>
      </c>
      <c r="G11" s="216">
        <v>45899</v>
      </c>
      <c r="H11" s="216">
        <v>45911</v>
      </c>
      <c r="I11" s="250">
        <f t="shared" si="0"/>
        <v>12</v>
      </c>
      <c r="J11" s="229">
        <v>45912</v>
      </c>
      <c r="K11" s="229">
        <v>45918</v>
      </c>
      <c r="L11" s="256">
        <f t="shared" si="1"/>
        <v>6</v>
      </c>
      <c r="M11" s="258" t="e">
        <f>#REF!-L11</f>
        <v>#REF!</v>
      </c>
      <c r="N11" s="205" t="s">
        <v>496</v>
      </c>
      <c r="Q11" s="37" t="s">
        <v>25</v>
      </c>
      <c r="R11" s="205" t="s">
        <v>496</v>
      </c>
    </row>
    <row r="12" spans="1:18" ht="26" x14ac:dyDescent="0.35">
      <c r="A12" s="1">
        <v>8</v>
      </c>
      <c r="B12" s="35" t="s">
        <v>10</v>
      </c>
      <c r="C12" s="36" t="s">
        <v>26</v>
      </c>
      <c r="D12" s="37" t="s">
        <v>27</v>
      </c>
      <c r="E12" s="38">
        <v>6506285751087</v>
      </c>
      <c r="F12" s="39">
        <v>900086</v>
      </c>
      <c r="G12" s="216">
        <v>45959</v>
      </c>
      <c r="H12" s="216">
        <v>45971</v>
      </c>
      <c r="I12" s="250">
        <f t="shared" si="0"/>
        <v>12</v>
      </c>
      <c r="J12" s="229"/>
      <c r="K12" s="229"/>
      <c r="L12" s="256" t="str">
        <f t="shared" si="1"/>
        <v/>
      </c>
      <c r="M12" s="258"/>
      <c r="N12" s="205" t="s">
        <v>497</v>
      </c>
      <c r="Q12" s="37" t="s">
        <v>27</v>
      </c>
      <c r="R12" s="205" t="s">
        <v>497</v>
      </c>
    </row>
    <row r="13" spans="1:18" ht="26" hidden="1" x14ac:dyDescent="0.35">
      <c r="B13" s="35"/>
      <c r="C13" s="43">
        <v>11</v>
      </c>
      <c r="D13" s="44" t="s">
        <v>28</v>
      </c>
      <c r="E13" s="45">
        <v>6502026541085</v>
      </c>
      <c r="F13" s="46">
        <v>319086</v>
      </c>
      <c r="G13" s="219"/>
      <c r="H13" s="219"/>
      <c r="I13" s="250" t="str">
        <f t="shared" si="0"/>
        <v/>
      </c>
      <c r="J13" s="229"/>
      <c r="K13" s="230"/>
      <c r="L13" s="256" t="str">
        <f t="shared" si="1"/>
        <v/>
      </c>
      <c r="M13" s="258"/>
      <c r="N13" s="137" t="s">
        <v>300</v>
      </c>
      <c r="Q13" s="44" t="s">
        <v>28</v>
      </c>
      <c r="R13" s="137" t="s">
        <v>300</v>
      </c>
    </row>
    <row r="14" spans="1:18" ht="26" x14ac:dyDescent="0.35">
      <c r="A14" s="1">
        <v>9</v>
      </c>
      <c r="B14" s="35" t="s">
        <v>29</v>
      </c>
      <c r="C14" s="36" t="s">
        <v>30</v>
      </c>
      <c r="D14" s="37" t="s">
        <v>31</v>
      </c>
      <c r="E14" s="38">
        <v>8810245844083</v>
      </c>
      <c r="F14" s="39">
        <v>1564162</v>
      </c>
      <c r="G14" s="216">
        <v>45945</v>
      </c>
      <c r="H14" s="216">
        <v>45957</v>
      </c>
      <c r="I14" s="250">
        <f t="shared" si="0"/>
        <v>12</v>
      </c>
      <c r="J14" s="229">
        <v>45958</v>
      </c>
      <c r="K14" s="229">
        <v>45968</v>
      </c>
      <c r="L14" s="256">
        <f t="shared" si="1"/>
        <v>10</v>
      </c>
      <c r="M14" s="258" t="e">
        <f>#REF!-L14</f>
        <v>#REF!</v>
      </c>
      <c r="N14" s="205" t="s">
        <v>498</v>
      </c>
      <c r="Q14" s="37" t="s">
        <v>31</v>
      </c>
      <c r="R14" s="205" t="s">
        <v>498</v>
      </c>
    </row>
    <row r="15" spans="1:18" ht="26" hidden="1" x14ac:dyDescent="0.35">
      <c r="B15" s="35"/>
      <c r="C15" s="36">
        <v>14</v>
      </c>
      <c r="D15" s="44" t="s">
        <v>32</v>
      </c>
      <c r="E15" s="45">
        <v>6501275065085</v>
      </c>
      <c r="F15" s="46">
        <v>2732240</v>
      </c>
      <c r="G15" s="219"/>
      <c r="H15" s="219"/>
      <c r="I15" s="250" t="str">
        <f t="shared" si="0"/>
        <v/>
      </c>
      <c r="J15" s="229"/>
      <c r="K15" s="230"/>
      <c r="L15" s="256" t="str">
        <f t="shared" si="1"/>
        <v/>
      </c>
      <c r="M15" s="258"/>
      <c r="N15" s="137" t="s">
        <v>305</v>
      </c>
      <c r="Q15" s="44" t="s">
        <v>32</v>
      </c>
      <c r="R15" s="137" t="s">
        <v>305</v>
      </c>
    </row>
    <row r="16" spans="1:18" ht="39" x14ac:dyDescent="0.35">
      <c r="A16" s="1">
        <v>10</v>
      </c>
      <c r="B16" s="35" t="s">
        <v>33</v>
      </c>
      <c r="C16" s="328" t="s">
        <v>34</v>
      </c>
      <c r="D16" s="326" t="s">
        <v>35</v>
      </c>
      <c r="E16" s="327">
        <v>9008055211084</v>
      </c>
      <c r="F16" s="329">
        <v>2003164</v>
      </c>
      <c r="G16" s="220">
        <v>45922</v>
      </c>
      <c r="H16" s="335">
        <v>45934</v>
      </c>
      <c r="I16" s="250">
        <f t="shared" si="0"/>
        <v>12</v>
      </c>
      <c r="J16" s="229"/>
      <c r="K16" s="231"/>
      <c r="L16" s="256" t="str">
        <f t="shared" si="1"/>
        <v/>
      </c>
      <c r="M16" s="258"/>
      <c r="N16" s="206" t="s">
        <v>309</v>
      </c>
      <c r="Q16" s="326" t="s">
        <v>35</v>
      </c>
      <c r="R16" s="206" t="s">
        <v>309</v>
      </c>
    </row>
    <row r="17" spans="1:18" ht="26" x14ac:dyDescent="0.35">
      <c r="A17" s="1">
        <v>11</v>
      </c>
      <c r="B17" s="35" t="s">
        <v>10</v>
      </c>
      <c r="C17" s="36" t="s">
        <v>36</v>
      </c>
      <c r="D17" s="37" t="s">
        <v>37</v>
      </c>
      <c r="E17" s="38">
        <v>6504106181089</v>
      </c>
      <c r="F17" s="39">
        <v>2071594</v>
      </c>
      <c r="G17" s="216">
        <v>45937</v>
      </c>
      <c r="H17" s="216">
        <v>45949</v>
      </c>
      <c r="I17" s="250">
        <f t="shared" si="0"/>
        <v>12</v>
      </c>
      <c r="J17" s="229"/>
      <c r="K17" s="229"/>
      <c r="L17" s="256" t="str">
        <f t="shared" si="1"/>
        <v/>
      </c>
      <c r="M17" s="258"/>
      <c r="N17" s="205" t="s">
        <v>499</v>
      </c>
      <c r="Q17" s="37" t="s">
        <v>37</v>
      </c>
      <c r="R17" s="205" t="s">
        <v>499</v>
      </c>
    </row>
    <row r="18" spans="1:18" ht="26" hidden="1" x14ac:dyDescent="0.35">
      <c r="B18" s="35"/>
      <c r="C18" s="64">
        <v>17</v>
      </c>
      <c r="D18" s="37" t="s">
        <v>38</v>
      </c>
      <c r="E18" s="45">
        <v>5803205926084</v>
      </c>
      <c r="F18" s="46">
        <v>190351</v>
      </c>
      <c r="G18" s="219"/>
      <c r="H18" s="219"/>
      <c r="I18" s="250" t="str">
        <f t="shared" si="0"/>
        <v/>
      </c>
      <c r="J18" s="229"/>
      <c r="K18" s="230"/>
      <c r="L18" s="256" t="str">
        <f t="shared" si="1"/>
        <v/>
      </c>
      <c r="M18" s="258"/>
      <c r="N18" s="137" t="s">
        <v>313</v>
      </c>
      <c r="Q18" s="37" t="s">
        <v>38</v>
      </c>
      <c r="R18" s="137" t="s">
        <v>313</v>
      </c>
    </row>
    <row r="19" spans="1:18" ht="26" x14ac:dyDescent="0.35">
      <c r="B19" s="35" t="s">
        <v>39</v>
      </c>
      <c r="C19" s="36" t="s">
        <v>40</v>
      </c>
      <c r="D19" s="37" t="s">
        <v>41</v>
      </c>
      <c r="E19" s="38">
        <v>5109165642087</v>
      </c>
      <c r="F19" s="39">
        <v>179013</v>
      </c>
      <c r="G19" s="216" t="s">
        <v>581</v>
      </c>
      <c r="H19" s="216"/>
      <c r="I19" s="250" t="str">
        <f t="shared" si="0"/>
        <v/>
      </c>
      <c r="J19" s="229"/>
      <c r="K19" s="229"/>
      <c r="L19" s="256" t="str">
        <f t="shared" si="1"/>
        <v/>
      </c>
      <c r="M19" s="258"/>
      <c r="N19" s="205" t="s">
        <v>500</v>
      </c>
      <c r="Q19" s="37" t="s">
        <v>41</v>
      </c>
      <c r="R19" s="205" t="s">
        <v>500</v>
      </c>
    </row>
    <row r="20" spans="1:18" ht="26" x14ac:dyDescent="0.35">
      <c r="A20" s="310">
        <v>12</v>
      </c>
      <c r="B20" s="35" t="s">
        <v>42</v>
      </c>
      <c r="C20" s="300" t="s">
        <v>43</v>
      </c>
      <c r="D20" s="304" t="s">
        <v>44</v>
      </c>
      <c r="E20" s="302">
        <v>8904115462082</v>
      </c>
      <c r="F20" s="303">
        <v>1707175</v>
      </c>
      <c r="G20" s="216">
        <v>45930</v>
      </c>
      <c r="H20" s="216">
        <v>45942</v>
      </c>
      <c r="I20" s="250">
        <f t="shared" si="0"/>
        <v>12</v>
      </c>
      <c r="J20" s="229"/>
      <c r="K20" s="229"/>
      <c r="L20" s="256" t="str">
        <f t="shared" si="1"/>
        <v/>
      </c>
      <c r="M20" s="258"/>
      <c r="N20" s="205" t="s">
        <v>501</v>
      </c>
      <c r="Q20" s="304" t="s">
        <v>44</v>
      </c>
      <c r="R20" s="205" t="s">
        <v>501</v>
      </c>
    </row>
    <row r="21" spans="1:18" ht="39" x14ac:dyDescent="0.35">
      <c r="A21" s="1">
        <v>13</v>
      </c>
      <c r="B21" s="35" t="s">
        <v>45</v>
      </c>
      <c r="C21" s="36" t="s">
        <v>46</v>
      </c>
      <c r="D21" s="37" t="s">
        <v>47</v>
      </c>
      <c r="E21" s="38">
        <v>8607215562087</v>
      </c>
      <c r="F21" s="39">
        <v>1286457</v>
      </c>
      <c r="G21" s="216">
        <v>45878</v>
      </c>
      <c r="H21" s="216">
        <v>45890</v>
      </c>
      <c r="I21" s="250">
        <f t="shared" si="0"/>
        <v>12</v>
      </c>
      <c r="J21" s="229"/>
      <c r="K21" s="229"/>
      <c r="L21" s="256" t="str">
        <f t="shared" si="1"/>
        <v/>
      </c>
      <c r="M21" s="258"/>
      <c r="N21" s="205" t="s">
        <v>502</v>
      </c>
      <c r="O21" s="290" t="s">
        <v>574</v>
      </c>
      <c r="Q21" s="37" t="s">
        <v>47</v>
      </c>
      <c r="R21" s="205" t="s">
        <v>502</v>
      </c>
    </row>
    <row r="22" spans="1:18" ht="39" x14ac:dyDescent="0.35">
      <c r="A22" s="1">
        <v>14</v>
      </c>
      <c r="B22" s="35" t="s">
        <v>23</v>
      </c>
      <c r="C22" s="36" t="s">
        <v>48</v>
      </c>
      <c r="D22" s="37" t="s">
        <v>49</v>
      </c>
      <c r="E22" s="38">
        <v>7705106471086</v>
      </c>
      <c r="F22" s="39">
        <v>1419418</v>
      </c>
      <c r="G22" s="216">
        <v>45921</v>
      </c>
      <c r="H22" s="334">
        <v>45933</v>
      </c>
      <c r="I22" s="250">
        <f t="shared" si="0"/>
        <v>12</v>
      </c>
      <c r="J22" s="229"/>
      <c r="K22" s="229"/>
      <c r="L22" s="256" t="str">
        <f t="shared" si="1"/>
        <v/>
      </c>
      <c r="M22" s="258"/>
      <c r="N22" s="205" t="s">
        <v>503</v>
      </c>
      <c r="Q22" s="37" t="s">
        <v>49</v>
      </c>
      <c r="R22" s="205" t="s">
        <v>503</v>
      </c>
    </row>
    <row r="23" spans="1:18" ht="26" x14ac:dyDescent="0.35">
      <c r="A23" s="1">
        <v>15</v>
      </c>
      <c r="B23" s="35" t="s">
        <v>50</v>
      </c>
      <c r="C23" s="311" t="s">
        <v>51</v>
      </c>
      <c r="D23" s="312" t="s">
        <v>52</v>
      </c>
      <c r="E23" s="313">
        <v>8302256189087</v>
      </c>
      <c r="F23" s="314">
        <v>1908399</v>
      </c>
      <c r="G23" s="216">
        <v>45901</v>
      </c>
      <c r="H23" s="216">
        <v>45913</v>
      </c>
      <c r="I23" s="250">
        <f t="shared" si="0"/>
        <v>12</v>
      </c>
      <c r="J23" s="229">
        <v>45989</v>
      </c>
      <c r="K23" s="229">
        <v>46002</v>
      </c>
      <c r="L23" s="256">
        <f t="shared" si="1"/>
        <v>13</v>
      </c>
      <c r="M23" s="258"/>
      <c r="N23" s="205" t="s">
        <v>504</v>
      </c>
      <c r="Q23" s="312" t="s">
        <v>52</v>
      </c>
      <c r="R23" s="205" t="s">
        <v>504</v>
      </c>
    </row>
    <row r="24" spans="1:18" ht="26" x14ac:dyDescent="0.35">
      <c r="A24" s="310">
        <v>16</v>
      </c>
      <c r="B24" s="35" t="s">
        <v>39</v>
      </c>
      <c r="C24" s="300" t="s">
        <v>53</v>
      </c>
      <c r="D24" s="304" t="s">
        <v>54</v>
      </c>
      <c r="E24" s="302">
        <v>6612245953084</v>
      </c>
      <c r="F24" s="303">
        <v>1032773</v>
      </c>
      <c r="G24" s="216">
        <v>45927</v>
      </c>
      <c r="H24" s="216">
        <v>45945</v>
      </c>
      <c r="I24" s="250">
        <f t="shared" si="0"/>
        <v>18</v>
      </c>
      <c r="J24" s="229"/>
      <c r="K24" s="229"/>
      <c r="L24" s="256" t="str">
        <f t="shared" si="1"/>
        <v/>
      </c>
      <c r="M24" s="258"/>
      <c r="N24" s="205" t="s">
        <v>505</v>
      </c>
      <c r="Q24" s="304" t="s">
        <v>54</v>
      </c>
      <c r="R24" s="205" t="s">
        <v>505</v>
      </c>
    </row>
    <row r="25" spans="1:18" ht="26" hidden="1" x14ac:dyDescent="0.35">
      <c r="B25" s="35"/>
      <c r="C25" s="43">
        <v>26</v>
      </c>
      <c r="D25" s="44" t="s">
        <v>55</v>
      </c>
      <c r="E25" s="45">
        <v>8611295233080</v>
      </c>
      <c r="F25" s="46">
        <v>1599503</v>
      </c>
      <c r="G25" s="219"/>
      <c r="H25" s="219"/>
      <c r="I25" s="250" t="str">
        <f t="shared" si="0"/>
        <v/>
      </c>
      <c r="J25" s="229"/>
      <c r="K25" s="230"/>
      <c r="L25" s="256" t="str">
        <f t="shared" si="1"/>
        <v/>
      </c>
      <c r="M25" s="258"/>
      <c r="N25" s="137" t="s">
        <v>333</v>
      </c>
      <c r="Q25" s="44" t="s">
        <v>55</v>
      </c>
      <c r="R25" s="137" t="s">
        <v>333</v>
      </c>
    </row>
    <row r="26" spans="1:18" ht="26" x14ac:dyDescent="0.35">
      <c r="A26" s="1">
        <v>17</v>
      </c>
      <c r="B26" s="35" t="s">
        <v>56</v>
      </c>
      <c r="C26" s="36" t="s">
        <v>57</v>
      </c>
      <c r="D26" s="58" t="s">
        <v>584</v>
      </c>
      <c r="E26" s="38">
        <v>8004286093087</v>
      </c>
      <c r="F26" s="39">
        <v>2685496</v>
      </c>
      <c r="G26" s="334">
        <v>45934</v>
      </c>
      <c r="H26" s="216">
        <v>45946</v>
      </c>
      <c r="I26" s="250">
        <f t="shared" si="0"/>
        <v>12</v>
      </c>
      <c r="J26" s="229"/>
      <c r="K26" s="229"/>
      <c r="L26" s="256" t="str">
        <f t="shared" si="1"/>
        <v/>
      </c>
      <c r="M26" s="258"/>
      <c r="N26" s="205" t="s">
        <v>506</v>
      </c>
      <c r="Q26" s="58" t="s">
        <v>584</v>
      </c>
      <c r="R26" s="205" t="s">
        <v>506</v>
      </c>
    </row>
    <row r="27" spans="1:18" ht="26" x14ac:dyDescent="0.35">
      <c r="A27" s="1">
        <v>18</v>
      </c>
      <c r="B27" s="35" t="s">
        <v>59</v>
      </c>
      <c r="C27" s="296" t="s">
        <v>60</v>
      </c>
      <c r="D27" s="147" t="s">
        <v>588</v>
      </c>
      <c r="E27" s="297">
        <v>7209085678084</v>
      </c>
      <c r="F27" s="298">
        <v>379389</v>
      </c>
      <c r="G27" s="340">
        <v>45936</v>
      </c>
      <c r="H27" s="294">
        <v>45954</v>
      </c>
      <c r="I27" s="295">
        <f t="shared" si="0"/>
        <v>18</v>
      </c>
      <c r="J27" s="229"/>
      <c r="K27" s="229"/>
      <c r="L27" s="256" t="str">
        <f t="shared" si="1"/>
        <v/>
      </c>
      <c r="M27" s="258"/>
      <c r="N27" s="205" t="s">
        <v>506</v>
      </c>
      <c r="Q27" s="147" t="s">
        <v>588</v>
      </c>
      <c r="R27" s="205" t="s">
        <v>506</v>
      </c>
    </row>
    <row r="28" spans="1:18" ht="39" hidden="1" x14ac:dyDescent="0.35">
      <c r="B28" s="35"/>
      <c r="C28" s="36">
        <v>30</v>
      </c>
      <c r="D28" s="44" t="s">
        <v>62</v>
      </c>
      <c r="E28" s="45" t="s">
        <v>63</v>
      </c>
      <c r="F28" s="44">
        <v>3160080</v>
      </c>
      <c r="G28" s="219"/>
      <c r="H28" s="219"/>
      <c r="I28" s="250" t="str">
        <f t="shared" si="0"/>
        <v/>
      </c>
      <c r="J28" s="229"/>
      <c r="K28" s="230"/>
      <c r="L28" s="256" t="str">
        <f t="shared" si="1"/>
        <v/>
      </c>
      <c r="M28" s="258"/>
      <c r="N28" s="137" t="s">
        <v>340</v>
      </c>
      <c r="Q28" s="44" t="s">
        <v>62</v>
      </c>
      <c r="R28" s="137" t="s">
        <v>340</v>
      </c>
    </row>
    <row r="29" spans="1:18" ht="26" hidden="1" x14ac:dyDescent="0.35">
      <c r="B29" s="35"/>
      <c r="C29" s="64">
        <v>32</v>
      </c>
      <c r="D29" s="37" t="s">
        <v>64</v>
      </c>
      <c r="E29" s="45">
        <v>8910245392081</v>
      </c>
      <c r="F29" s="46">
        <v>1743327</v>
      </c>
      <c r="G29" s="219"/>
      <c r="H29" s="219"/>
      <c r="I29" s="250" t="str">
        <f t="shared" si="0"/>
        <v/>
      </c>
      <c r="J29" s="229"/>
      <c r="K29" s="239"/>
      <c r="L29" s="256" t="str">
        <f t="shared" si="1"/>
        <v/>
      </c>
      <c r="M29" s="258"/>
      <c r="N29" s="207" t="s">
        <v>507</v>
      </c>
      <c r="Q29" s="37" t="s">
        <v>64</v>
      </c>
      <c r="R29" s="207" t="s">
        <v>507</v>
      </c>
    </row>
    <row r="30" spans="1:18" s="74" customFormat="1" ht="39" x14ac:dyDescent="0.35">
      <c r="A30" s="1">
        <v>19</v>
      </c>
      <c r="B30" s="67" t="s">
        <v>10</v>
      </c>
      <c r="C30" s="315" t="s">
        <v>65</v>
      </c>
      <c r="D30" s="316" t="s">
        <v>66</v>
      </c>
      <c r="E30" s="317">
        <v>6212315812086</v>
      </c>
      <c r="F30" s="318">
        <v>280359</v>
      </c>
      <c r="G30" s="221">
        <v>45892</v>
      </c>
      <c r="H30" s="221">
        <v>45904</v>
      </c>
      <c r="I30" s="250">
        <f t="shared" si="0"/>
        <v>12</v>
      </c>
      <c r="J30" s="229">
        <v>45905</v>
      </c>
      <c r="K30" s="232">
        <v>45906</v>
      </c>
      <c r="L30" s="256">
        <f t="shared" si="1"/>
        <v>1</v>
      </c>
      <c r="M30" s="258" t="e">
        <f>#REF!-L30</f>
        <v>#REF!</v>
      </c>
      <c r="N30" s="208" t="s">
        <v>346</v>
      </c>
      <c r="O30" s="292"/>
      <c r="Q30" s="316" t="s">
        <v>66</v>
      </c>
      <c r="R30" s="208" t="s">
        <v>346</v>
      </c>
    </row>
    <row r="31" spans="1:18" s="367" customFormat="1" ht="39" x14ac:dyDescent="0.35">
      <c r="A31" s="350">
        <v>20</v>
      </c>
      <c r="B31" s="351" t="s">
        <v>56</v>
      </c>
      <c r="C31" s="363" t="s">
        <v>67</v>
      </c>
      <c r="D31" s="353" t="s">
        <v>578</v>
      </c>
      <c r="E31" s="354">
        <v>8412165273086</v>
      </c>
      <c r="F31" s="364">
        <v>2840362</v>
      </c>
      <c r="G31" s="355">
        <v>45901</v>
      </c>
      <c r="H31" s="355">
        <v>45913</v>
      </c>
      <c r="I31" s="356">
        <f t="shared" si="0"/>
        <v>12</v>
      </c>
      <c r="J31" s="357">
        <v>45914</v>
      </c>
      <c r="K31" s="357">
        <v>45933</v>
      </c>
      <c r="L31" s="359">
        <f t="shared" si="1"/>
        <v>19</v>
      </c>
      <c r="M31" s="258" t="e">
        <f>#REF!-L31</f>
        <v>#REF!</v>
      </c>
      <c r="N31" s="365" t="s">
        <v>508</v>
      </c>
      <c r="O31" s="366"/>
      <c r="Q31" s="353" t="s">
        <v>578</v>
      </c>
      <c r="R31" s="365" t="s">
        <v>508</v>
      </c>
    </row>
    <row r="32" spans="1:18" ht="26" x14ac:dyDescent="0.35">
      <c r="A32" s="1">
        <v>21</v>
      </c>
      <c r="B32" s="35" t="s">
        <v>16</v>
      </c>
      <c r="C32" s="36" t="s">
        <v>69</v>
      </c>
      <c r="D32" s="37" t="s">
        <v>70</v>
      </c>
      <c r="E32" s="38">
        <v>9304125150083</v>
      </c>
      <c r="F32" s="39">
        <v>2112869</v>
      </c>
      <c r="G32" s="216"/>
      <c r="H32" s="299">
        <v>45909</v>
      </c>
      <c r="I32" s="250" t="str">
        <f t="shared" si="0"/>
        <v/>
      </c>
      <c r="J32" s="229"/>
      <c r="K32" s="229"/>
      <c r="L32" s="256" t="str">
        <f t="shared" si="1"/>
        <v/>
      </c>
      <c r="M32" s="258"/>
      <c r="N32" s="205" t="s">
        <v>509</v>
      </c>
      <c r="O32" s="290" t="s">
        <v>585</v>
      </c>
      <c r="Q32" s="37" t="s">
        <v>70</v>
      </c>
      <c r="R32" s="205" t="s">
        <v>509</v>
      </c>
    </row>
    <row r="33" spans="1:18" s="74" customFormat="1" ht="52" hidden="1" x14ac:dyDescent="0.35">
      <c r="A33" s="1"/>
      <c r="B33" s="67"/>
      <c r="C33" s="68">
        <v>36</v>
      </c>
      <c r="D33" s="69" t="s">
        <v>71</v>
      </c>
      <c r="E33" s="70">
        <v>7612166366083</v>
      </c>
      <c r="F33" s="71">
        <v>1992221</v>
      </c>
      <c r="G33" s="221"/>
      <c r="H33" s="221"/>
      <c r="I33" s="250" t="str">
        <f t="shared" si="0"/>
        <v/>
      </c>
      <c r="J33" s="229"/>
      <c r="K33" s="232"/>
      <c r="L33" s="256" t="str">
        <f t="shared" si="1"/>
        <v/>
      </c>
      <c r="M33" s="258"/>
      <c r="N33" s="208" t="s">
        <v>353</v>
      </c>
      <c r="O33" s="292"/>
      <c r="Q33" s="69" t="s">
        <v>71</v>
      </c>
      <c r="R33" s="208" t="s">
        <v>353</v>
      </c>
    </row>
    <row r="34" spans="1:18" s="74" customFormat="1" ht="26" hidden="1" x14ac:dyDescent="0.35">
      <c r="A34" s="1"/>
      <c r="B34" s="67"/>
      <c r="C34" s="68">
        <v>37</v>
      </c>
      <c r="D34" s="69" t="s">
        <v>72</v>
      </c>
      <c r="E34" s="70">
        <v>9008166285084</v>
      </c>
      <c r="F34" s="71">
        <v>2199718</v>
      </c>
      <c r="G34" s="221"/>
      <c r="H34" s="221"/>
      <c r="I34" s="250" t="str">
        <f t="shared" si="0"/>
        <v/>
      </c>
      <c r="J34" s="229"/>
      <c r="K34" s="232"/>
      <c r="L34" s="256" t="str">
        <f t="shared" si="1"/>
        <v/>
      </c>
      <c r="M34" s="258"/>
      <c r="N34" s="208" t="s">
        <v>355</v>
      </c>
      <c r="O34" s="292"/>
      <c r="Q34" s="69" t="s">
        <v>72</v>
      </c>
      <c r="R34" s="208" t="s">
        <v>355</v>
      </c>
    </row>
    <row r="35" spans="1:18" ht="28" x14ac:dyDescent="0.35">
      <c r="A35" s="310">
        <v>22</v>
      </c>
      <c r="B35" s="35" t="s">
        <v>73</v>
      </c>
      <c r="C35" s="300" t="s">
        <v>74</v>
      </c>
      <c r="D35" s="304" t="s">
        <v>75</v>
      </c>
      <c r="E35" s="302">
        <v>9006215424084</v>
      </c>
      <c r="F35" s="303">
        <v>2655682</v>
      </c>
      <c r="G35" s="216">
        <v>45921</v>
      </c>
      <c r="H35" s="216">
        <v>45933</v>
      </c>
      <c r="I35" s="250">
        <f t="shared" si="0"/>
        <v>12</v>
      </c>
      <c r="J35" s="229">
        <v>45934</v>
      </c>
      <c r="K35" s="229">
        <v>45944</v>
      </c>
      <c r="L35" s="256">
        <f t="shared" si="1"/>
        <v>10</v>
      </c>
      <c r="M35" s="258" t="e">
        <f>#REF!-L35</f>
        <v>#REF!</v>
      </c>
      <c r="N35" s="205" t="s">
        <v>510</v>
      </c>
      <c r="O35" s="290" t="s">
        <v>591</v>
      </c>
      <c r="Q35" s="304" t="s">
        <v>75</v>
      </c>
      <c r="R35" s="205" t="s">
        <v>510</v>
      </c>
    </row>
    <row r="36" spans="1:18" ht="26" hidden="1" x14ac:dyDescent="0.35">
      <c r="B36" s="35"/>
      <c r="C36" s="43">
        <v>47</v>
      </c>
      <c r="D36" s="44" t="s">
        <v>76</v>
      </c>
      <c r="E36" s="45">
        <v>6111075751080</v>
      </c>
      <c r="F36" s="44">
        <v>749669</v>
      </c>
      <c r="G36" s="219"/>
      <c r="H36" s="222"/>
      <c r="I36" s="250" t="str">
        <f t="shared" si="0"/>
        <v/>
      </c>
      <c r="J36" s="229"/>
      <c r="K36" s="230"/>
      <c r="L36" s="256" t="str">
        <f t="shared" si="1"/>
        <v/>
      </c>
      <c r="M36" s="258"/>
      <c r="N36" s="137" t="s">
        <v>360</v>
      </c>
      <c r="Q36" s="44" t="s">
        <v>76</v>
      </c>
      <c r="R36" s="137" t="s">
        <v>360</v>
      </c>
    </row>
    <row r="37" spans="1:18" ht="26" hidden="1" x14ac:dyDescent="0.35">
      <c r="B37" s="35"/>
      <c r="C37" s="43">
        <v>48</v>
      </c>
      <c r="D37" s="44" t="s">
        <v>77</v>
      </c>
      <c r="E37" s="45">
        <v>6509115765087</v>
      </c>
      <c r="F37" s="44">
        <v>167280</v>
      </c>
      <c r="G37" s="219"/>
      <c r="H37" s="222"/>
      <c r="I37" s="250" t="str">
        <f t="shared" si="0"/>
        <v/>
      </c>
      <c r="J37" s="229"/>
      <c r="K37" s="230"/>
      <c r="L37" s="256" t="str">
        <f t="shared" si="1"/>
        <v/>
      </c>
      <c r="M37" s="258"/>
      <c r="N37" s="137" t="s">
        <v>362</v>
      </c>
      <c r="Q37" s="44" t="s">
        <v>77</v>
      </c>
      <c r="R37" s="137" t="s">
        <v>362</v>
      </c>
    </row>
    <row r="38" spans="1:18" hidden="1" x14ac:dyDescent="0.35">
      <c r="B38" s="35"/>
      <c r="C38" s="43">
        <v>49</v>
      </c>
      <c r="D38" s="44" t="s">
        <v>78</v>
      </c>
      <c r="E38" s="45">
        <v>7906146195087</v>
      </c>
      <c r="F38" s="44">
        <v>1808673</v>
      </c>
      <c r="G38" s="223"/>
      <c r="H38" s="224"/>
      <c r="I38" s="250" t="str">
        <f t="shared" si="0"/>
        <v/>
      </c>
      <c r="J38" s="229"/>
      <c r="K38" s="230"/>
      <c r="L38" s="256" t="str">
        <f t="shared" si="1"/>
        <v/>
      </c>
      <c r="M38" s="258"/>
      <c r="N38" s="137" t="s">
        <v>364</v>
      </c>
      <c r="Q38" s="44" t="s">
        <v>78</v>
      </c>
      <c r="R38" s="137" t="s">
        <v>364</v>
      </c>
    </row>
    <row r="39" spans="1:18" ht="22.5" customHeight="1" x14ac:dyDescent="0.35">
      <c r="A39" s="1">
        <v>23</v>
      </c>
      <c r="B39" s="35" t="s">
        <v>79</v>
      </c>
      <c r="C39" s="36" t="s">
        <v>80</v>
      </c>
      <c r="D39" s="37" t="s">
        <v>81</v>
      </c>
      <c r="E39" s="38">
        <v>8408126348082</v>
      </c>
      <c r="F39" s="39">
        <v>2038494</v>
      </c>
      <c r="G39" s="216">
        <v>45939</v>
      </c>
      <c r="H39" s="216">
        <v>45953</v>
      </c>
      <c r="I39" s="250">
        <f t="shared" si="0"/>
        <v>14</v>
      </c>
      <c r="J39" s="229"/>
      <c r="K39" s="229"/>
      <c r="L39" s="256" t="str">
        <f t="shared" si="1"/>
        <v/>
      </c>
      <c r="M39" s="258"/>
      <c r="N39" s="209" t="s">
        <v>511</v>
      </c>
      <c r="Q39" s="37" t="s">
        <v>81</v>
      </c>
      <c r="R39" s="209" t="s">
        <v>511</v>
      </c>
    </row>
    <row r="40" spans="1:18" ht="14.15" customHeight="1" x14ac:dyDescent="0.35">
      <c r="A40" s="1">
        <v>24</v>
      </c>
      <c r="B40" s="35" t="s">
        <v>42</v>
      </c>
      <c r="C40" s="36" t="s">
        <v>82</v>
      </c>
      <c r="D40" s="37" t="s">
        <v>83</v>
      </c>
      <c r="E40" s="38">
        <v>8012186091085</v>
      </c>
      <c r="F40" s="37">
        <v>2424501</v>
      </c>
      <c r="G40" s="216">
        <v>45944</v>
      </c>
      <c r="H40" s="216">
        <v>45956</v>
      </c>
      <c r="I40" s="250">
        <f t="shared" si="0"/>
        <v>12</v>
      </c>
      <c r="J40" s="229">
        <v>45957</v>
      </c>
      <c r="K40" s="229">
        <v>45968</v>
      </c>
      <c r="L40" s="256">
        <f t="shared" si="1"/>
        <v>11</v>
      </c>
      <c r="M40" s="258">
        <v>0</v>
      </c>
      <c r="N40" s="209" t="s">
        <v>512</v>
      </c>
      <c r="O40" s="290" t="s">
        <v>575</v>
      </c>
      <c r="Q40" s="37" t="s">
        <v>83</v>
      </c>
      <c r="R40" s="209" t="s">
        <v>512</v>
      </c>
    </row>
    <row r="41" spans="1:18" hidden="1" x14ac:dyDescent="0.35">
      <c r="B41" s="35"/>
      <c r="C41" s="59">
        <v>51</v>
      </c>
      <c r="D41" s="44" t="s">
        <v>84</v>
      </c>
      <c r="E41" s="45" t="s">
        <v>85</v>
      </c>
      <c r="F41" s="44">
        <v>1785160</v>
      </c>
      <c r="G41" s="219"/>
      <c r="H41" s="222"/>
      <c r="I41" s="250" t="str">
        <f t="shared" si="0"/>
        <v/>
      </c>
      <c r="J41" s="229"/>
      <c r="K41" s="230"/>
      <c r="L41" s="256" t="str">
        <f t="shared" si="1"/>
        <v/>
      </c>
      <c r="M41" s="258"/>
      <c r="N41" s="137" t="s">
        <v>372</v>
      </c>
      <c r="Q41" s="44" t="s">
        <v>84</v>
      </c>
      <c r="R41" s="137" t="s">
        <v>372</v>
      </c>
    </row>
    <row r="42" spans="1:18" ht="26" hidden="1" x14ac:dyDescent="0.35">
      <c r="B42" s="35"/>
      <c r="C42" s="59">
        <v>52</v>
      </c>
      <c r="D42" s="44" t="s">
        <v>86</v>
      </c>
      <c r="E42" s="45" t="s">
        <v>87</v>
      </c>
      <c r="F42" s="44">
        <v>1322412</v>
      </c>
      <c r="G42" s="219"/>
      <c r="H42" s="222"/>
      <c r="I42" s="250" t="str">
        <f t="shared" si="0"/>
        <v/>
      </c>
      <c r="J42" s="229"/>
      <c r="K42" s="230"/>
      <c r="L42" s="256" t="str">
        <f t="shared" si="1"/>
        <v/>
      </c>
      <c r="M42" s="258"/>
      <c r="N42" s="137" t="s">
        <v>374</v>
      </c>
      <c r="Q42" s="44" t="s">
        <v>86</v>
      </c>
      <c r="R42" s="137" t="s">
        <v>374</v>
      </c>
    </row>
    <row r="43" spans="1:18" x14ac:dyDescent="0.35">
      <c r="A43" s="1">
        <v>25</v>
      </c>
      <c r="B43" s="35" t="s">
        <v>59</v>
      </c>
      <c r="C43" s="66" t="s">
        <v>88</v>
      </c>
      <c r="D43" s="69" t="s">
        <v>89</v>
      </c>
      <c r="E43" s="70" t="s">
        <v>90</v>
      </c>
      <c r="F43" s="69">
        <v>1963620</v>
      </c>
      <c r="G43" s="337">
        <v>45931</v>
      </c>
      <c r="H43" s="225">
        <v>45943</v>
      </c>
      <c r="I43" s="250">
        <f t="shared" si="0"/>
        <v>12</v>
      </c>
      <c r="J43" s="229"/>
      <c r="K43" s="232"/>
      <c r="L43" s="256" t="str">
        <f t="shared" si="1"/>
        <v/>
      </c>
      <c r="M43" s="258"/>
      <c r="N43" s="208" t="s">
        <v>377</v>
      </c>
      <c r="Q43" s="69" t="s">
        <v>89</v>
      </c>
      <c r="R43" s="208" t="s">
        <v>377</v>
      </c>
    </row>
    <row r="44" spans="1:18" ht="26" x14ac:dyDescent="0.35">
      <c r="A44" s="1">
        <v>26</v>
      </c>
      <c r="B44" s="35" t="s">
        <v>91</v>
      </c>
      <c r="C44" s="88" t="s">
        <v>92</v>
      </c>
      <c r="D44" s="89" t="s">
        <v>93</v>
      </c>
      <c r="E44" s="38" t="s">
        <v>94</v>
      </c>
      <c r="F44" s="38">
        <v>1862916</v>
      </c>
      <c r="G44" s="216">
        <v>45897</v>
      </c>
      <c r="H44" s="216">
        <v>45921</v>
      </c>
      <c r="I44" s="250">
        <f t="shared" si="0"/>
        <v>24</v>
      </c>
      <c r="J44" s="229">
        <v>45922</v>
      </c>
      <c r="K44" s="229">
        <v>45943</v>
      </c>
      <c r="L44" s="256">
        <f t="shared" si="1"/>
        <v>21</v>
      </c>
      <c r="M44" s="258" t="e">
        <f>#REF!-L44</f>
        <v>#REF!</v>
      </c>
      <c r="N44" s="209" t="s">
        <v>380</v>
      </c>
      <c r="O44" s="290" t="s">
        <v>573</v>
      </c>
      <c r="Q44" s="89" t="s">
        <v>93</v>
      </c>
      <c r="R44" s="209" t="s">
        <v>380</v>
      </c>
    </row>
    <row r="45" spans="1:18" ht="26.25" hidden="1" customHeight="1" x14ac:dyDescent="0.35">
      <c r="B45" s="35"/>
      <c r="C45" s="92">
        <v>54</v>
      </c>
      <c r="D45" s="93" t="s">
        <v>95</v>
      </c>
      <c r="E45" s="45" t="s">
        <v>96</v>
      </c>
      <c r="F45" s="45">
        <v>2700403</v>
      </c>
      <c r="G45" s="226"/>
      <c r="H45" s="219"/>
      <c r="I45" s="250" t="str">
        <f t="shared" si="0"/>
        <v/>
      </c>
      <c r="J45" s="229"/>
      <c r="K45" s="230"/>
      <c r="L45" s="256" t="str">
        <f t="shared" si="1"/>
        <v/>
      </c>
      <c r="M45" s="258"/>
      <c r="N45" s="146" t="s">
        <v>382</v>
      </c>
      <c r="Q45" s="93" t="s">
        <v>95</v>
      </c>
      <c r="R45" s="146" t="s">
        <v>382</v>
      </c>
    </row>
    <row r="46" spans="1:18" ht="39" hidden="1" x14ac:dyDescent="0.35">
      <c r="B46" s="35"/>
      <c r="C46" s="88">
        <v>55</v>
      </c>
      <c r="D46" s="89" t="s">
        <v>97</v>
      </c>
      <c r="E46" s="38" t="s">
        <v>98</v>
      </c>
      <c r="F46" s="38">
        <v>1500494</v>
      </c>
      <c r="G46" s="216"/>
      <c r="H46" s="216"/>
      <c r="I46" s="250" t="str">
        <f t="shared" si="0"/>
        <v/>
      </c>
      <c r="J46" s="229"/>
      <c r="K46" s="229"/>
      <c r="L46" s="256" t="str">
        <f t="shared" si="1"/>
        <v/>
      </c>
      <c r="M46" s="258"/>
      <c r="N46" s="209" t="s">
        <v>383</v>
      </c>
      <c r="Q46" s="89" t="s">
        <v>97</v>
      </c>
      <c r="R46" s="209" t="s">
        <v>383</v>
      </c>
    </row>
    <row r="47" spans="1:18" ht="26" x14ac:dyDescent="0.35">
      <c r="A47" s="1">
        <v>27</v>
      </c>
      <c r="B47" s="35" t="s">
        <v>99</v>
      </c>
      <c r="C47" s="319" t="s">
        <v>100</v>
      </c>
      <c r="D47" s="320" t="s">
        <v>101</v>
      </c>
      <c r="E47" s="313" t="s">
        <v>102</v>
      </c>
      <c r="F47" s="313">
        <v>1717804</v>
      </c>
      <c r="G47" s="216">
        <v>45906</v>
      </c>
      <c r="H47" s="216">
        <v>45918</v>
      </c>
      <c r="I47" s="250">
        <f t="shared" si="0"/>
        <v>12</v>
      </c>
      <c r="J47" s="229"/>
      <c r="K47" s="229"/>
      <c r="L47" s="256" t="str">
        <f t="shared" si="1"/>
        <v/>
      </c>
      <c r="M47" s="258"/>
      <c r="N47" s="209" t="s">
        <v>387</v>
      </c>
      <c r="Q47" s="320" t="s">
        <v>101</v>
      </c>
      <c r="R47" s="209" t="s">
        <v>387</v>
      </c>
    </row>
    <row r="48" spans="1:18" hidden="1" x14ac:dyDescent="0.35">
      <c r="B48" s="35"/>
      <c r="C48" s="88">
        <v>60</v>
      </c>
      <c r="D48" s="93" t="s">
        <v>103</v>
      </c>
      <c r="E48" s="45" t="s">
        <v>104</v>
      </c>
      <c r="F48" s="45">
        <v>1417139</v>
      </c>
      <c r="G48" s="219"/>
      <c r="H48" s="219"/>
      <c r="I48" s="250" t="str">
        <f t="shared" si="0"/>
        <v/>
      </c>
      <c r="J48" s="229"/>
      <c r="K48" s="230"/>
      <c r="L48" s="256" t="str">
        <f t="shared" si="1"/>
        <v/>
      </c>
      <c r="M48" s="258"/>
      <c r="N48" s="146" t="s">
        <v>387</v>
      </c>
      <c r="Q48" s="93" t="s">
        <v>103</v>
      </c>
      <c r="R48" s="146" t="s">
        <v>387</v>
      </c>
    </row>
    <row r="49" spans="1:18" ht="26" x14ac:dyDescent="0.35">
      <c r="A49" s="1">
        <v>28</v>
      </c>
      <c r="B49" s="35" t="s">
        <v>4</v>
      </c>
      <c r="C49" s="319" t="s">
        <v>105</v>
      </c>
      <c r="D49" s="320" t="s">
        <v>106</v>
      </c>
      <c r="E49" s="313" t="s">
        <v>107</v>
      </c>
      <c r="F49" s="313">
        <v>1553300</v>
      </c>
      <c r="G49" s="216"/>
      <c r="H49" s="299">
        <v>45910</v>
      </c>
      <c r="I49" s="250" t="str">
        <f t="shared" si="0"/>
        <v/>
      </c>
      <c r="J49" s="229">
        <v>45916</v>
      </c>
      <c r="K49" s="229" t="s">
        <v>582</v>
      </c>
      <c r="L49" s="256" t="e">
        <f t="shared" si="1"/>
        <v>#VALUE!</v>
      </c>
      <c r="M49" s="258"/>
      <c r="N49" s="209" t="s">
        <v>340</v>
      </c>
      <c r="Q49" s="320" t="s">
        <v>106</v>
      </c>
      <c r="R49" s="209" t="s">
        <v>340</v>
      </c>
    </row>
    <row r="50" spans="1:18" s="62" customFormat="1" ht="39" hidden="1" x14ac:dyDescent="0.35">
      <c r="A50" s="1"/>
      <c r="B50" s="60"/>
      <c r="C50" s="92">
        <v>63</v>
      </c>
      <c r="D50" s="93" t="s">
        <v>108</v>
      </c>
      <c r="E50" s="45" t="s">
        <v>109</v>
      </c>
      <c r="F50" s="45">
        <v>2786964</v>
      </c>
      <c r="G50" s="219"/>
      <c r="H50" s="219"/>
      <c r="I50" s="250" t="str">
        <f t="shared" si="0"/>
        <v/>
      </c>
      <c r="J50" s="229"/>
      <c r="K50" s="230"/>
      <c r="L50" s="256" t="str">
        <f t="shared" si="1"/>
        <v/>
      </c>
      <c r="M50" s="258"/>
      <c r="N50" s="146" t="s">
        <v>391</v>
      </c>
      <c r="O50" s="291"/>
      <c r="Q50" s="93" t="s">
        <v>108</v>
      </c>
      <c r="R50" s="146" t="s">
        <v>391</v>
      </c>
    </row>
    <row r="51" spans="1:18" ht="39" x14ac:dyDescent="0.35">
      <c r="A51" s="1">
        <v>29</v>
      </c>
      <c r="B51" s="35" t="s">
        <v>10</v>
      </c>
      <c r="C51" s="319" t="s">
        <v>110</v>
      </c>
      <c r="D51" s="320" t="s">
        <v>111</v>
      </c>
      <c r="E51" s="313" t="s">
        <v>112</v>
      </c>
      <c r="F51" s="313">
        <v>2895541</v>
      </c>
      <c r="G51" s="216">
        <v>45911</v>
      </c>
      <c r="H51" s="216">
        <v>45923</v>
      </c>
      <c r="I51" s="250">
        <f t="shared" si="0"/>
        <v>12</v>
      </c>
      <c r="J51" s="229"/>
      <c r="K51" s="229"/>
      <c r="L51" s="256" t="str">
        <f t="shared" si="1"/>
        <v/>
      </c>
      <c r="M51" s="258"/>
      <c r="N51" s="209" t="s">
        <v>394</v>
      </c>
      <c r="Q51" s="320" t="s">
        <v>111</v>
      </c>
      <c r="R51" s="209" t="s">
        <v>394</v>
      </c>
    </row>
    <row r="52" spans="1:18" ht="26" x14ac:dyDescent="0.35">
      <c r="A52" s="1">
        <v>30</v>
      </c>
      <c r="B52" s="35" t="s">
        <v>113</v>
      </c>
      <c r="C52" s="88" t="s">
        <v>114</v>
      </c>
      <c r="D52" s="89" t="s">
        <v>115</v>
      </c>
      <c r="E52" s="38" t="s">
        <v>116</v>
      </c>
      <c r="F52" s="38">
        <v>263496</v>
      </c>
      <c r="G52" s="216"/>
      <c r="H52" s="216"/>
      <c r="I52" s="250" t="str">
        <f t="shared" si="0"/>
        <v/>
      </c>
      <c r="J52" s="229"/>
      <c r="K52" s="229"/>
      <c r="L52" s="256" t="str">
        <f t="shared" si="1"/>
        <v/>
      </c>
      <c r="M52" s="258"/>
      <c r="N52" s="209" t="s">
        <v>397</v>
      </c>
      <c r="Q52" s="89" t="s">
        <v>115</v>
      </c>
      <c r="R52" s="209" t="s">
        <v>397</v>
      </c>
    </row>
    <row r="53" spans="1:18" s="62" customFormat="1" ht="52" hidden="1" x14ac:dyDescent="0.35">
      <c r="A53" s="1"/>
      <c r="B53" s="60"/>
      <c r="C53" s="92">
        <v>73</v>
      </c>
      <c r="D53" s="93" t="s">
        <v>117</v>
      </c>
      <c r="E53" s="45"/>
      <c r="F53" s="45"/>
      <c r="G53" s="219"/>
      <c r="H53" s="219"/>
      <c r="I53" s="250" t="str">
        <f t="shared" si="0"/>
        <v/>
      </c>
      <c r="J53" s="229"/>
      <c r="K53" s="230"/>
      <c r="L53" s="256" t="str">
        <f t="shared" si="1"/>
        <v/>
      </c>
      <c r="M53" s="258"/>
      <c r="N53" s="146" t="s">
        <v>398</v>
      </c>
      <c r="O53" s="291"/>
      <c r="Q53" s="93" t="s">
        <v>117</v>
      </c>
      <c r="R53" s="146" t="s">
        <v>398</v>
      </c>
    </row>
    <row r="54" spans="1:18" ht="26" x14ac:dyDescent="0.35">
      <c r="A54" s="1">
        <v>31</v>
      </c>
      <c r="B54" s="35"/>
      <c r="C54" s="98" t="s">
        <v>118</v>
      </c>
      <c r="D54" s="99" t="s">
        <v>119</v>
      </c>
      <c r="E54" s="51">
        <v>9702195175080</v>
      </c>
      <c r="F54" s="51">
        <v>2902422</v>
      </c>
      <c r="G54" s="220">
        <v>45960</v>
      </c>
      <c r="H54" s="220">
        <v>45978</v>
      </c>
      <c r="I54" s="250">
        <f>IF(AND(+G54&lt;&gt;"",+H54&lt;&gt;""),+H54-G54,"")</f>
        <v>18</v>
      </c>
      <c r="J54" s="231"/>
      <c r="K54" s="231"/>
      <c r="L54" s="256" t="str">
        <f t="shared" si="1"/>
        <v/>
      </c>
      <c r="M54" s="258"/>
      <c r="N54" s="210" t="s">
        <v>400</v>
      </c>
      <c r="Q54" s="99" t="s">
        <v>119</v>
      </c>
      <c r="R54" s="210" t="s">
        <v>400</v>
      </c>
    </row>
    <row r="55" spans="1:18" ht="26" x14ac:dyDescent="0.35">
      <c r="A55" s="1">
        <v>32</v>
      </c>
      <c r="B55" s="35" t="s">
        <v>79</v>
      </c>
      <c r="C55" s="88" t="s">
        <v>120</v>
      </c>
      <c r="D55" s="89" t="s">
        <v>121</v>
      </c>
      <c r="E55" s="38" t="s">
        <v>122</v>
      </c>
      <c r="F55" s="38">
        <v>1741317</v>
      </c>
      <c r="G55" s="216">
        <v>45939</v>
      </c>
      <c r="H55" s="216">
        <v>45953</v>
      </c>
      <c r="I55" s="250">
        <f t="shared" si="0"/>
        <v>14</v>
      </c>
      <c r="J55" s="229"/>
      <c r="K55" s="229"/>
      <c r="L55" s="256" t="str">
        <f t="shared" si="1"/>
        <v/>
      </c>
      <c r="M55" s="258"/>
      <c r="N55" s="211" t="s">
        <v>403</v>
      </c>
      <c r="Q55" s="89" t="s">
        <v>121</v>
      </c>
      <c r="R55" s="211" t="s">
        <v>403</v>
      </c>
    </row>
    <row r="56" spans="1:18" s="62" customFormat="1" ht="26" hidden="1" x14ac:dyDescent="0.35">
      <c r="A56" s="1"/>
      <c r="B56" s="60"/>
      <c r="C56" s="92">
        <v>77</v>
      </c>
      <c r="D56" s="93" t="s">
        <v>123</v>
      </c>
      <c r="E56" s="45" t="s">
        <v>124</v>
      </c>
      <c r="F56" s="45"/>
      <c r="G56" s="219"/>
      <c r="H56" s="219"/>
      <c r="I56" s="250" t="str">
        <f t="shared" si="0"/>
        <v/>
      </c>
      <c r="J56" s="229"/>
      <c r="K56" s="230"/>
      <c r="L56" s="256" t="str">
        <f t="shared" si="1"/>
        <v/>
      </c>
      <c r="M56" s="258"/>
      <c r="N56" s="146" t="s">
        <v>403</v>
      </c>
      <c r="O56" s="291"/>
      <c r="Q56" s="93" t="s">
        <v>123</v>
      </c>
      <c r="R56" s="146" t="s">
        <v>403</v>
      </c>
    </row>
    <row r="57" spans="1:18" s="74" customFormat="1" ht="42.75" customHeight="1" x14ac:dyDescent="0.35">
      <c r="A57" s="1">
        <v>33</v>
      </c>
      <c r="B57" s="67" t="s">
        <v>4</v>
      </c>
      <c r="C57" s="102" t="s">
        <v>125</v>
      </c>
      <c r="D57" s="103" t="s">
        <v>126</v>
      </c>
      <c r="E57" s="70" t="s">
        <v>127</v>
      </c>
      <c r="F57" s="70">
        <v>2257376</v>
      </c>
      <c r="G57" s="221">
        <v>45901</v>
      </c>
      <c r="H57" s="221">
        <v>45913</v>
      </c>
      <c r="I57" s="250">
        <f t="shared" si="0"/>
        <v>12</v>
      </c>
      <c r="J57" s="229"/>
      <c r="K57" s="232"/>
      <c r="L57" s="256" t="str">
        <f t="shared" si="1"/>
        <v/>
      </c>
      <c r="M57" s="258"/>
      <c r="N57" s="212" t="s">
        <v>406</v>
      </c>
      <c r="O57" s="292"/>
      <c r="Q57" s="103" t="s">
        <v>126</v>
      </c>
      <c r="R57" s="212" t="s">
        <v>406</v>
      </c>
    </row>
    <row r="58" spans="1:18" s="74" customFormat="1" x14ac:dyDescent="0.35">
      <c r="A58" s="1">
        <v>34</v>
      </c>
      <c r="B58" s="67" t="s">
        <v>128</v>
      </c>
      <c r="C58" s="102" t="s">
        <v>129</v>
      </c>
      <c r="D58" s="103" t="s">
        <v>130</v>
      </c>
      <c r="E58" s="70" t="s">
        <v>131</v>
      </c>
      <c r="F58" s="70">
        <v>1746851</v>
      </c>
      <c r="G58" s="221"/>
      <c r="H58" s="221"/>
      <c r="I58" s="250" t="str">
        <f t="shared" si="0"/>
        <v/>
      </c>
      <c r="J58" s="229"/>
      <c r="K58" s="232"/>
      <c r="L58" s="256" t="str">
        <f t="shared" si="1"/>
        <v/>
      </c>
      <c r="M58" s="258"/>
      <c r="N58" s="212" t="s">
        <v>409</v>
      </c>
      <c r="O58" s="292"/>
      <c r="Q58" s="103" t="s">
        <v>130</v>
      </c>
      <c r="R58" s="212" t="s">
        <v>409</v>
      </c>
    </row>
    <row r="59" spans="1:18" s="74" customFormat="1" ht="39" x14ac:dyDescent="0.35">
      <c r="A59" s="310">
        <v>35</v>
      </c>
      <c r="B59" s="67" t="s">
        <v>132</v>
      </c>
      <c r="C59" s="305" t="s">
        <v>133</v>
      </c>
      <c r="D59" s="306" t="s">
        <v>579</v>
      </c>
      <c r="E59" s="307" t="s">
        <v>135</v>
      </c>
      <c r="F59" s="307">
        <v>2900197</v>
      </c>
      <c r="G59" s="221">
        <v>45925</v>
      </c>
      <c r="H59" s="337">
        <v>45931</v>
      </c>
      <c r="I59" s="250">
        <f t="shared" si="0"/>
        <v>6</v>
      </c>
      <c r="J59" s="229"/>
      <c r="K59" s="232"/>
      <c r="L59" s="256" t="str">
        <f t="shared" si="1"/>
        <v/>
      </c>
      <c r="M59" s="258"/>
      <c r="N59" s="212" t="s">
        <v>409</v>
      </c>
      <c r="O59" s="292"/>
      <c r="Q59" s="306" t="s">
        <v>579</v>
      </c>
      <c r="R59" s="212" t="s">
        <v>409</v>
      </c>
    </row>
    <row r="60" spans="1:18" s="74" customFormat="1" ht="26" x14ac:dyDescent="0.35">
      <c r="A60" s="1">
        <v>36</v>
      </c>
      <c r="B60" s="106"/>
      <c r="C60" s="323" t="s">
        <v>136</v>
      </c>
      <c r="D60" s="324" t="s">
        <v>137</v>
      </c>
      <c r="E60" s="317" t="s">
        <v>138</v>
      </c>
      <c r="F60" s="317">
        <v>2002948</v>
      </c>
      <c r="G60" s="221">
        <v>45881</v>
      </c>
      <c r="H60" s="221">
        <v>45893</v>
      </c>
      <c r="I60" s="250">
        <f t="shared" si="0"/>
        <v>12</v>
      </c>
      <c r="J60" s="229">
        <v>45894</v>
      </c>
      <c r="K60" s="232">
        <v>45915</v>
      </c>
      <c r="L60" s="256">
        <f t="shared" si="1"/>
        <v>21</v>
      </c>
      <c r="M60" s="258" t="e">
        <f>#REF!-L60</f>
        <v>#REF!</v>
      </c>
      <c r="N60" s="212" t="s">
        <v>414</v>
      </c>
      <c r="O60" s="292"/>
      <c r="Q60" s="324" t="s">
        <v>137</v>
      </c>
      <c r="R60" s="212" t="s">
        <v>414</v>
      </c>
    </row>
    <row r="61" spans="1:18" s="74" customFormat="1" ht="39" x14ac:dyDescent="0.35">
      <c r="A61" s="1">
        <v>37</v>
      </c>
      <c r="B61" s="67" t="s">
        <v>45</v>
      </c>
      <c r="C61" s="102" t="s">
        <v>139</v>
      </c>
      <c r="D61" s="103" t="s">
        <v>140</v>
      </c>
      <c r="E61" s="70" t="s">
        <v>141</v>
      </c>
      <c r="F61" s="70">
        <v>1327177</v>
      </c>
      <c r="G61" s="221"/>
      <c r="H61" s="221"/>
      <c r="I61" s="250" t="str">
        <f t="shared" si="0"/>
        <v/>
      </c>
      <c r="J61" s="229"/>
      <c r="K61" s="232"/>
      <c r="L61" s="256" t="str">
        <f t="shared" si="1"/>
        <v/>
      </c>
      <c r="M61" s="258"/>
      <c r="N61" s="212" t="s">
        <v>417</v>
      </c>
      <c r="O61" s="292"/>
      <c r="Q61" s="103" t="s">
        <v>140</v>
      </c>
      <c r="R61" s="212" t="s">
        <v>417</v>
      </c>
    </row>
    <row r="62" spans="1:18" s="74" customFormat="1" ht="26" x14ac:dyDescent="0.35">
      <c r="A62" s="1">
        <v>38</v>
      </c>
      <c r="B62" s="67" t="s">
        <v>142</v>
      </c>
      <c r="C62" s="102" t="s">
        <v>143</v>
      </c>
      <c r="D62" s="103" t="s">
        <v>144</v>
      </c>
      <c r="E62" s="70" t="s">
        <v>145</v>
      </c>
      <c r="F62" s="70">
        <v>2847356</v>
      </c>
      <c r="G62" s="221"/>
      <c r="H62" s="221"/>
      <c r="I62" s="250" t="str">
        <f t="shared" si="0"/>
        <v/>
      </c>
      <c r="J62" s="229">
        <v>45858</v>
      </c>
      <c r="K62" s="232">
        <v>45872</v>
      </c>
      <c r="L62" s="256">
        <f t="shared" si="1"/>
        <v>14</v>
      </c>
      <c r="M62" s="258" t="e">
        <f>#REF!-L62</f>
        <v>#REF!</v>
      </c>
      <c r="N62" s="212" t="s">
        <v>420</v>
      </c>
      <c r="O62" s="292" t="s">
        <v>572</v>
      </c>
      <c r="Q62" s="103" t="s">
        <v>144</v>
      </c>
      <c r="R62" s="212" t="s">
        <v>420</v>
      </c>
    </row>
    <row r="63" spans="1:18" s="74" customFormat="1" ht="26" x14ac:dyDescent="0.35">
      <c r="A63" s="310"/>
      <c r="B63" s="67"/>
      <c r="C63" s="305"/>
      <c r="D63" s="306" t="s">
        <v>144</v>
      </c>
      <c r="E63" s="307" t="s">
        <v>145</v>
      </c>
      <c r="F63" s="307">
        <v>2847356</v>
      </c>
      <c r="G63" s="221">
        <v>45918</v>
      </c>
      <c r="H63" s="333">
        <v>45930</v>
      </c>
      <c r="I63" s="250">
        <f t="shared" si="0"/>
        <v>12</v>
      </c>
      <c r="J63" s="229">
        <v>45931</v>
      </c>
      <c r="K63" s="338">
        <v>45938</v>
      </c>
      <c r="L63" s="256">
        <f t="shared" si="1"/>
        <v>7</v>
      </c>
      <c r="M63" s="258">
        <v>0</v>
      </c>
      <c r="N63" s="212"/>
      <c r="O63" s="292" t="s">
        <v>572</v>
      </c>
      <c r="Q63" s="306" t="s">
        <v>144</v>
      </c>
      <c r="R63" s="212"/>
    </row>
    <row r="64" spans="1:18" s="74" customFormat="1" ht="26" x14ac:dyDescent="0.35">
      <c r="A64" s="1">
        <v>39</v>
      </c>
      <c r="B64" s="67" t="s">
        <v>79</v>
      </c>
      <c r="C64" s="102" t="s">
        <v>146</v>
      </c>
      <c r="D64" s="103" t="s">
        <v>147</v>
      </c>
      <c r="E64" s="70" t="s">
        <v>148</v>
      </c>
      <c r="F64" s="70">
        <v>2734113</v>
      </c>
      <c r="G64" s="221"/>
      <c r="H64" s="221"/>
      <c r="I64" s="250" t="str">
        <f t="shared" si="0"/>
        <v/>
      </c>
      <c r="J64" s="229"/>
      <c r="K64" s="232"/>
      <c r="L64" s="256" t="str">
        <f t="shared" si="1"/>
        <v/>
      </c>
      <c r="M64" s="258"/>
      <c r="N64" s="212" t="s">
        <v>420</v>
      </c>
      <c r="O64" s="292"/>
      <c r="Q64" s="103" t="s">
        <v>147</v>
      </c>
      <c r="R64" s="212" t="s">
        <v>420</v>
      </c>
    </row>
    <row r="65" spans="1:18" s="74" customFormat="1" ht="26" x14ac:dyDescent="0.35">
      <c r="A65" s="1">
        <v>40</v>
      </c>
      <c r="B65" s="67" t="s">
        <v>56</v>
      </c>
      <c r="C65" s="66" t="s">
        <v>149</v>
      </c>
      <c r="D65" s="69" t="s">
        <v>150</v>
      </c>
      <c r="E65" s="70" t="s">
        <v>151</v>
      </c>
      <c r="F65" s="69">
        <v>1410053</v>
      </c>
      <c r="G65" s="221"/>
      <c r="H65" s="221"/>
      <c r="I65" s="250" t="str">
        <f t="shared" si="0"/>
        <v/>
      </c>
      <c r="J65" s="229"/>
      <c r="K65" s="232"/>
      <c r="L65" s="256" t="str">
        <f t="shared" si="1"/>
        <v/>
      </c>
      <c r="M65" s="258"/>
      <c r="N65" s="212" t="s">
        <v>425</v>
      </c>
      <c r="O65" s="292"/>
      <c r="Q65" s="69" t="s">
        <v>150</v>
      </c>
      <c r="R65" s="212" t="s">
        <v>425</v>
      </c>
    </row>
    <row r="66" spans="1:18" s="74" customFormat="1" ht="52" x14ac:dyDescent="0.35">
      <c r="A66" s="1">
        <v>41</v>
      </c>
      <c r="B66" s="67" t="s">
        <v>153</v>
      </c>
      <c r="C66" s="84" t="s">
        <v>152</v>
      </c>
      <c r="D66" s="37" t="s">
        <v>154</v>
      </c>
      <c r="E66" s="38" t="s">
        <v>155</v>
      </c>
      <c r="F66" s="37">
        <v>2110665</v>
      </c>
      <c r="G66" s="216"/>
      <c r="H66" s="216"/>
      <c r="I66" s="250" t="str">
        <f t="shared" si="0"/>
        <v/>
      </c>
      <c r="J66" s="229"/>
      <c r="K66" s="232"/>
      <c r="L66" s="256" t="str">
        <f t="shared" si="1"/>
        <v/>
      </c>
      <c r="M66" s="258"/>
      <c r="N66" s="212" t="s">
        <v>427</v>
      </c>
      <c r="O66" s="292"/>
      <c r="Q66" s="37" t="s">
        <v>154</v>
      </c>
      <c r="R66" s="212" t="s">
        <v>427</v>
      </c>
    </row>
    <row r="67" spans="1:18" s="74" customFormat="1" ht="26" x14ac:dyDescent="0.35">
      <c r="A67" s="1">
        <v>42</v>
      </c>
      <c r="B67" s="67" t="s">
        <v>10</v>
      </c>
      <c r="C67" s="84" t="s">
        <v>156</v>
      </c>
      <c r="D67" s="37" t="s">
        <v>157</v>
      </c>
      <c r="E67" s="70" t="s">
        <v>158</v>
      </c>
      <c r="F67" s="37">
        <v>2652479</v>
      </c>
      <c r="G67" s="216"/>
      <c r="H67" s="216"/>
      <c r="I67" s="250" t="str">
        <f t="shared" si="0"/>
        <v/>
      </c>
      <c r="J67" s="229"/>
      <c r="K67" s="232"/>
      <c r="L67" s="256" t="str">
        <f t="shared" si="1"/>
        <v/>
      </c>
      <c r="M67" s="258"/>
      <c r="N67" s="212" t="s">
        <v>427</v>
      </c>
      <c r="O67" s="292"/>
      <c r="Q67" s="37" t="s">
        <v>157</v>
      </c>
      <c r="R67" s="212" t="s">
        <v>427</v>
      </c>
    </row>
    <row r="68" spans="1:18" s="74" customFormat="1" x14ac:dyDescent="0.35">
      <c r="A68" s="310">
        <v>43</v>
      </c>
      <c r="B68" s="67" t="s">
        <v>159</v>
      </c>
      <c r="C68" s="308" t="s">
        <v>160</v>
      </c>
      <c r="D68" s="304" t="s">
        <v>161</v>
      </c>
      <c r="E68" s="307" t="s">
        <v>162</v>
      </c>
      <c r="F68" s="304">
        <v>2003192</v>
      </c>
      <c r="G68" s="216">
        <v>45926</v>
      </c>
      <c r="H68" s="216">
        <v>45950</v>
      </c>
      <c r="I68" s="250">
        <f t="shared" ref="I68:I88" si="2">IF(AND(+G68&lt;&gt;"",+H68&lt;&gt;""),+H68-G68,"")</f>
        <v>24</v>
      </c>
      <c r="J68" s="229">
        <v>45951</v>
      </c>
      <c r="K68" s="232">
        <v>45972</v>
      </c>
      <c r="L68" s="256">
        <f t="shared" si="1"/>
        <v>21</v>
      </c>
      <c r="M68" s="258" t="e">
        <f>#REF!-L68</f>
        <v>#REF!</v>
      </c>
      <c r="N68" s="212" t="s">
        <v>432</v>
      </c>
      <c r="O68" s="292"/>
      <c r="Q68" s="304" t="s">
        <v>161</v>
      </c>
      <c r="R68" s="212" t="s">
        <v>432</v>
      </c>
    </row>
    <row r="69" spans="1:18" s="74" customFormat="1" x14ac:dyDescent="0.35">
      <c r="A69" s="1">
        <v>44</v>
      </c>
      <c r="B69" s="67" t="s">
        <v>113</v>
      </c>
      <c r="C69" s="84" t="s">
        <v>163</v>
      </c>
      <c r="D69" s="37" t="s">
        <v>164</v>
      </c>
      <c r="E69" s="38" t="s">
        <v>165</v>
      </c>
      <c r="F69" s="37">
        <v>3248542</v>
      </c>
      <c r="G69" s="216">
        <v>45982</v>
      </c>
      <c r="H69" s="216">
        <v>45994</v>
      </c>
      <c r="I69" s="250">
        <f t="shared" si="2"/>
        <v>12</v>
      </c>
      <c r="J69" s="229"/>
      <c r="K69" s="232"/>
      <c r="L69" s="256" t="str">
        <f t="shared" ref="L69:L94" si="3">IF(AND(+J69&lt;&gt;"",+K69&lt;&gt;""),+K69-J69,"")</f>
        <v/>
      </c>
      <c r="M69" s="258"/>
      <c r="N69" s="212" t="s">
        <v>435</v>
      </c>
      <c r="O69" s="292"/>
      <c r="Q69" s="37" t="s">
        <v>164</v>
      </c>
      <c r="R69" s="212" t="s">
        <v>435</v>
      </c>
    </row>
    <row r="70" spans="1:18" s="74" customFormat="1" ht="84" x14ac:dyDescent="0.35">
      <c r="A70" s="1">
        <v>45</v>
      </c>
      <c r="B70" s="67" t="s">
        <v>166</v>
      </c>
      <c r="C70" s="84" t="s">
        <v>167</v>
      </c>
      <c r="D70" s="37" t="s">
        <v>168</v>
      </c>
      <c r="E70" s="38" t="s">
        <v>169</v>
      </c>
      <c r="F70" s="37">
        <v>3181505</v>
      </c>
      <c r="G70" s="216">
        <v>45924</v>
      </c>
      <c r="H70" s="216">
        <v>45939</v>
      </c>
      <c r="I70" s="250">
        <f t="shared" si="2"/>
        <v>15</v>
      </c>
      <c r="J70" s="229"/>
      <c r="K70" s="232"/>
      <c r="L70" s="256" t="str">
        <f t="shared" si="3"/>
        <v/>
      </c>
      <c r="M70" s="258"/>
      <c r="N70" s="212" t="s">
        <v>438</v>
      </c>
      <c r="O70" s="292" t="s">
        <v>570</v>
      </c>
      <c r="Q70" s="37" t="s">
        <v>168</v>
      </c>
      <c r="R70" s="212" t="s">
        <v>438</v>
      </c>
    </row>
    <row r="71" spans="1:18" s="74" customFormat="1" ht="28" x14ac:dyDescent="0.35">
      <c r="A71" s="310">
        <v>46</v>
      </c>
      <c r="B71" s="67" t="s">
        <v>142</v>
      </c>
      <c r="C71" s="308" t="s">
        <v>170</v>
      </c>
      <c r="D71" s="304" t="s">
        <v>171</v>
      </c>
      <c r="E71" s="309" t="s">
        <v>172</v>
      </c>
      <c r="F71" s="304">
        <v>3210067</v>
      </c>
      <c r="G71" s="216">
        <v>45921</v>
      </c>
      <c r="H71" s="216">
        <v>45933</v>
      </c>
      <c r="I71" s="250">
        <f t="shared" si="2"/>
        <v>12</v>
      </c>
      <c r="J71" s="229">
        <v>45934</v>
      </c>
      <c r="K71" s="338">
        <v>45939</v>
      </c>
      <c r="L71" s="256">
        <f t="shared" si="3"/>
        <v>5</v>
      </c>
      <c r="M71" s="258" t="e">
        <f>#REF!-L71</f>
        <v>#REF!</v>
      </c>
      <c r="N71" s="212" t="s">
        <v>441</v>
      </c>
      <c r="O71" s="292" t="s">
        <v>577</v>
      </c>
      <c r="Q71" s="304" t="s">
        <v>171</v>
      </c>
      <c r="R71" s="212" t="s">
        <v>441</v>
      </c>
    </row>
    <row r="72" spans="1:18" s="74" customFormat="1" ht="26" x14ac:dyDescent="0.35">
      <c r="A72" s="1">
        <v>47</v>
      </c>
      <c r="B72" s="67" t="s">
        <v>79</v>
      </c>
      <c r="C72" s="322" t="s">
        <v>173</v>
      </c>
      <c r="D72" s="312" t="s">
        <v>174</v>
      </c>
      <c r="E72" s="313">
        <v>9504135233080</v>
      </c>
      <c r="F72" s="312">
        <v>2807179</v>
      </c>
      <c r="G72" s="216">
        <v>45883</v>
      </c>
      <c r="H72" s="216">
        <v>45895</v>
      </c>
      <c r="I72" s="250">
        <f t="shared" si="2"/>
        <v>12</v>
      </c>
      <c r="J72" s="229">
        <v>45896</v>
      </c>
      <c r="K72" s="228">
        <v>45911</v>
      </c>
      <c r="L72" s="256">
        <f t="shared" si="3"/>
        <v>15</v>
      </c>
      <c r="M72" s="258" t="e">
        <f>#REF!-L72</f>
        <v>#REF!</v>
      </c>
      <c r="N72" s="213" t="s">
        <v>444</v>
      </c>
      <c r="O72" s="292" t="s">
        <v>576</v>
      </c>
      <c r="Q72" s="312" t="s">
        <v>174</v>
      </c>
      <c r="R72" s="213" t="s">
        <v>444</v>
      </c>
    </row>
    <row r="73" spans="1:18" s="74" customFormat="1" ht="26" x14ac:dyDescent="0.35">
      <c r="A73" s="1">
        <v>48</v>
      </c>
      <c r="B73" s="67" t="s">
        <v>166</v>
      </c>
      <c r="C73" s="84" t="s">
        <v>175</v>
      </c>
      <c r="D73" s="37" t="s">
        <v>176</v>
      </c>
      <c r="E73" s="38" t="s">
        <v>177</v>
      </c>
      <c r="F73" s="37">
        <v>2501777</v>
      </c>
      <c r="G73" s="216"/>
      <c r="H73" s="216"/>
      <c r="I73" s="250" t="str">
        <f t="shared" si="2"/>
        <v/>
      </c>
      <c r="J73" s="229"/>
      <c r="K73" s="228"/>
      <c r="L73" s="256" t="str">
        <f t="shared" si="3"/>
        <v/>
      </c>
      <c r="M73" s="258"/>
      <c r="N73" s="213" t="s">
        <v>444</v>
      </c>
      <c r="O73" s="292"/>
      <c r="Q73" s="37" t="s">
        <v>176</v>
      </c>
      <c r="R73" s="213" t="s">
        <v>444</v>
      </c>
    </row>
    <row r="74" spans="1:18" s="74" customFormat="1" ht="26" x14ac:dyDescent="0.35">
      <c r="A74" s="1">
        <v>49</v>
      </c>
      <c r="B74" s="67" t="s">
        <v>142</v>
      </c>
      <c r="C74" s="84" t="s">
        <v>178</v>
      </c>
      <c r="D74" s="37" t="s">
        <v>179</v>
      </c>
      <c r="E74" s="38" t="s">
        <v>180</v>
      </c>
      <c r="F74" s="37">
        <v>2121020</v>
      </c>
      <c r="G74" s="216">
        <v>45891</v>
      </c>
      <c r="H74" s="216">
        <v>45903</v>
      </c>
      <c r="I74" s="250">
        <f t="shared" si="2"/>
        <v>12</v>
      </c>
      <c r="J74" s="229">
        <v>45904</v>
      </c>
      <c r="K74" s="228">
        <v>45925</v>
      </c>
      <c r="L74" s="256">
        <f t="shared" si="3"/>
        <v>21</v>
      </c>
      <c r="M74" s="258" t="e">
        <f>#REF!-L74</f>
        <v>#REF!</v>
      </c>
      <c r="N74" s="213" t="s">
        <v>449</v>
      </c>
      <c r="O74" s="292"/>
      <c r="Q74" s="37" t="s">
        <v>179</v>
      </c>
      <c r="R74" s="213" t="s">
        <v>449</v>
      </c>
    </row>
    <row r="75" spans="1:18" s="74" customFormat="1" ht="26" x14ac:dyDescent="0.35">
      <c r="A75" s="1">
        <v>50</v>
      </c>
      <c r="B75" s="67" t="s">
        <v>79</v>
      </c>
      <c r="C75" s="84" t="s">
        <v>181</v>
      </c>
      <c r="D75" s="37" t="s">
        <v>182</v>
      </c>
      <c r="E75" s="38" t="s">
        <v>183</v>
      </c>
      <c r="F75" s="37">
        <v>1760406</v>
      </c>
      <c r="G75" s="216"/>
      <c r="H75" s="216"/>
      <c r="I75" s="250" t="str">
        <f t="shared" si="2"/>
        <v/>
      </c>
      <c r="J75" s="229"/>
      <c r="K75" s="228"/>
      <c r="L75" s="256" t="str">
        <f t="shared" si="3"/>
        <v/>
      </c>
      <c r="M75" s="258"/>
      <c r="N75" s="213" t="s">
        <v>452</v>
      </c>
      <c r="O75" s="292"/>
      <c r="Q75" s="37" t="s">
        <v>182</v>
      </c>
      <c r="R75" s="213" t="s">
        <v>452</v>
      </c>
    </row>
    <row r="76" spans="1:18" s="74" customFormat="1" ht="26" x14ac:dyDescent="0.35">
      <c r="A76" s="1">
        <v>51</v>
      </c>
      <c r="B76" s="106" t="s">
        <v>33</v>
      </c>
      <c r="C76" s="84" t="s">
        <v>184</v>
      </c>
      <c r="D76" s="37" t="s">
        <v>185</v>
      </c>
      <c r="E76" s="38" t="s">
        <v>186</v>
      </c>
      <c r="F76" s="37">
        <v>1925801</v>
      </c>
      <c r="G76" s="216">
        <v>45970</v>
      </c>
      <c r="H76" s="216">
        <v>45982</v>
      </c>
      <c r="I76" s="250">
        <f t="shared" si="2"/>
        <v>12</v>
      </c>
      <c r="J76" s="229"/>
      <c r="K76" s="228"/>
      <c r="L76" s="256" t="str">
        <f t="shared" si="3"/>
        <v/>
      </c>
      <c r="M76" s="258"/>
      <c r="N76" s="213" t="s">
        <v>452</v>
      </c>
      <c r="O76" s="292"/>
      <c r="Q76" s="37" t="s">
        <v>185</v>
      </c>
      <c r="R76" s="213" t="s">
        <v>452</v>
      </c>
    </row>
    <row r="77" spans="1:18" s="74" customFormat="1" ht="28" x14ac:dyDescent="0.35">
      <c r="A77" s="1">
        <v>52</v>
      </c>
      <c r="B77" s="67" t="s">
        <v>187</v>
      </c>
      <c r="C77" s="84" t="s">
        <v>188</v>
      </c>
      <c r="D77" s="37" t="s">
        <v>189</v>
      </c>
      <c r="E77" s="38" t="s">
        <v>190</v>
      </c>
      <c r="F77" s="37">
        <v>2688427</v>
      </c>
      <c r="G77" s="216">
        <v>45945</v>
      </c>
      <c r="H77" s="216">
        <v>45957</v>
      </c>
      <c r="I77" s="250">
        <f t="shared" si="2"/>
        <v>12</v>
      </c>
      <c r="J77" s="229">
        <v>45958</v>
      </c>
      <c r="K77" s="228">
        <v>45968</v>
      </c>
      <c r="L77" s="256">
        <f t="shared" si="3"/>
        <v>10</v>
      </c>
      <c r="M77" s="258" t="e">
        <f>#REF!-L77</f>
        <v>#REF!</v>
      </c>
      <c r="N77" s="213" t="s">
        <v>456</v>
      </c>
      <c r="O77" s="292" t="s">
        <v>571</v>
      </c>
      <c r="Q77" s="37" t="s">
        <v>189</v>
      </c>
      <c r="R77" s="213" t="s">
        <v>456</v>
      </c>
    </row>
    <row r="78" spans="1:18" s="74" customFormat="1" ht="26" x14ac:dyDescent="0.35">
      <c r="A78" s="310">
        <v>53</v>
      </c>
      <c r="B78" s="67" t="s">
        <v>191</v>
      </c>
      <c r="C78" s="308" t="s">
        <v>192</v>
      </c>
      <c r="D78" s="304" t="s">
        <v>193</v>
      </c>
      <c r="E78" s="302" t="s">
        <v>194</v>
      </c>
      <c r="F78" s="304">
        <v>2113976</v>
      </c>
      <c r="G78" s="334">
        <v>45932</v>
      </c>
      <c r="H78" s="216">
        <v>45944</v>
      </c>
      <c r="I78" s="250">
        <f t="shared" si="2"/>
        <v>12</v>
      </c>
      <c r="J78" s="229">
        <v>45945</v>
      </c>
      <c r="K78" s="228">
        <v>45966</v>
      </c>
      <c r="L78" s="256">
        <f t="shared" si="3"/>
        <v>21</v>
      </c>
      <c r="M78" s="258" t="e">
        <f>#REF!-L78</f>
        <v>#REF!</v>
      </c>
      <c r="N78" s="213" t="s">
        <v>459</v>
      </c>
      <c r="O78" s="292"/>
      <c r="Q78" s="304" t="s">
        <v>193</v>
      </c>
      <c r="R78" s="213" t="s">
        <v>459</v>
      </c>
    </row>
    <row r="79" spans="1:18" s="74" customFormat="1" ht="28" x14ac:dyDescent="0.35">
      <c r="A79" s="1"/>
      <c r="B79" s="67" t="s">
        <v>79</v>
      </c>
      <c r="C79" s="146" t="s">
        <v>195</v>
      </c>
      <c r="D79" s="130" t="s">
        <v>196</v>
      </c>
      <c r="E79" s="347" t="s">
        <v>197</v>
      </c>
      <c r="F79" s="130">
        <v>2997686</v>
      </c>
      <c r="G79" s="344">
        <v>45827</v>
      </c>
      <c r="H79" s="344">
        <v>45839</v>
      </c>
      <c r="I79" s="341">
        <f t="shared" si="2"/>
        <v>12</v>
      </c>
      <c r="J79" s="345">
        <v>45840</v>
      </c>
      <c r="K79" s="346">
        <v>45869</v>
      </c>
      <c r="L79" s="342">
        <f t="shared" si="3"/>
        <v>29</v>
      </c>
      <c r="M79" s="348" t="e">
        <f>#REF!-L79</f>
        <v>#REF!</v>
      </c>
      <c r="N79" s="130" t="s">
        <v>456</v>
      </c>
      <c r="O79" s="343" t="s">
        <v>597</v>
      </c>
      <c r="P79" s="349"/>
      <c r="Q79" s="130" t="s">
        <v>196</v>
      </c>
      <c r="R79" s="130" t="s">
        <v>456</v>
      </c>
    </row>
    <row r="80" spans="1:18" s="74" customFormat="1" x14ac:dyDescent="0.35">
      <c r="A80" s="1">
        <v>54</v>
      </c>
      <c r="B80" s="67" t="s">
        <v>199</v>
      </c>
      <c r="C80" s="84" t="s">
        <v>198</v>
      </c>
      <c r="D80" s="37" t="s">
        <v>200</v>
      </c>
      <c r="E80" s="38" t="s">
        <v>201</v>
      </c>
      <c r="F80" s="37">
        <v>2869124</v>
      </c>
      <c r="G80" s="216"/>
      <c r="H80" s="216"/>
      <c r="I80" s="250" t="str">
        <f t="shared" si="2"/>
        <v/>
      </c>
      <c r="J80" s="229"/>
      <c r="K80" s="228"/>
      <c r="L80" s="256" t="str">
        <f t="shared" si="3"/>
        <v/>
      </c>
      <c r="M80" s="258"/>
      <c r="N80" s="213" t="s">
        <v>459</v>
      </c>
      <c r="O80" s="292"/>
      <c r="Q80" s="37" t="s">
        <v>200</v>
      </c>
      <c r="R80" s="213" t="s">
        <v>459</v>
      </c>
    </row>
    <row r="81" spans="1:18" s="74" customFormat="1" ht="26" x14ac:dyDescent="0.35">
      <c r="A81" s="1">
        <v>55</v>
      </c>
      <c r="B81" s="67" t="s">
        <v>203</v>
      </c>
      <c r="C81" s="84" t="s">
        <v>202</v>
      </c>
      <c r="D81" s="37" t="s">
        <v>204</v>
      </c>
      <c r="E81" s="38" t="s">
        <v>205</v>
      </c>
      <c r="F81" s="37">
        <v>2449277</v>
      </c>
      <c r="G81" s="216">
        <v>45929</v>
      </c>
      <c r="H81" s="216">
        <v>45947</v>
      </c>
      <c r="I81" s="250">
        <f t="shared" si="2"/>
        <v>18</v>
      </c>
      <c r="J81" s="229"/>
      <c r="K81" s="228"/>
      <c r="L81" s="256" t="str">
        <f t="shared" si="3"/>
        <v/>
      </c>
      <c r="M81" s="258" t="e">
        <f>#REF!-L81</f>
        <v>#REF!</v>
      </c>
      <c r="N81" s="213" t="s">
        <v>459</v>
      </c>
      <c r="O81" s="292"/>
      <c r="Q81" s="37" t="s">
        <v>204</v>
      </c>
      <c r="R81" s="213" t="s">
        <v>459</v>
      </c>
    </row>
    <row r="82" spans="1:18" s="74" customFormat="1" ht="26" x14ac:dyDescent="0.35">
      <c r="A82" s="1">
        <v>56</v>
      </c>
      <c r="B82" s="67" t="s">
        <v>206</v>
      </c>
      <c r="C82" s="84" t="s">
        <v>207</v>
      </c>
      <c r="D82" s="37" t="s">
        <v>208</v>
      </c>
      <c r="E82" s="38" t="s">
        <v>209</v>
      </c>
      <c r="F82" s="37">
        <v>2340229</v>
      </c>
      <c r="G82" s="216"/>
      <c r="H82" s="216"/>
      <c r="I82" s="250" t="str">
        <f t="shared" si="2"/>
        <v/>
      </c>
      <c r="J82" s="229"/>
      <c r="K82" s="228"/>
      <c r="L82" s="256" t="str">
        <f t="shared" si="3"/>
        <v/>
      </c>
      <c r="M82" s="258"/>
      <c r="N82" s="213" t="s">
        <v>467</v>
      </c>
      <c r="O82" s="292"/>
      <c r="Q82" s="37" t="s">
        <v>208</v>
      </c>
      <c r="R82" s="213" t="s">
        <v>467</v>
      </c>
    </row>
    <row r="83" spans="1:18" s="74" customFormat="1" ht="39" x14ac:dyDescent="0.35">
      <c r="A83" s="1">
        <v>57</v>
      </c>
      <c r="B83" s="67" t="s">
        <v>45</v>
      </c>
      <c r="C83" s="114" t="s">
        <v>210</v>
      </c>
      <c r="D83" s="37" t="s">
        <v>211</v>
      </c>
      <c r="E83" s="38" t="s">
        <v>212</v>
      </c>
      <c r="F83" s="37">
        <v>810265</v>
      </c>
      <c r="G83" s="216">
        <v>45883</v>
      </c>
      <c r="H83" s="216">
        <v>45895</v>
      </c>
      <c r="I83" s="250">
        <f t="shared" si="2"/>
        <v>12</v>
      </c>
      <c r="J83" s="229"/>
      <c r="K83" s="228"/>
      <c r="L83" s="256" t="str">
        <f t="shared" si="3"/>
        <v/>
      </c>
      <c r="M83" s="258"/>
      <c r="N83" s="213" t="s">
        <v>467</v>
      </c>
      <c r="O83" s="292"/>
      <c r="Q83" s="37" t="s">
        <v>211</v>
      </c>
      <c r="R83" s="213" t="s">
        <v>467</v>
      </c>
    </row>
    <row r="84" spans="1:18" s="74" customFormat="1" x14ac:dyDescent="0.35">
      <c r="A84" s="1">
        <v>58</v>
      </c>
      <c r="B84" s="67" t="s">
        <v>214</v>
      </c>
      <c r="C84" s="321" t="s">
        <v>213</v>
      </c>
      <c r="D84" s="312" t="s">
        <v>215</v>
      </c>
      <c r="E84" s="313" t="s">
        <v>216</v>
      </c>
      <c r="F84" s="312">
        <v>2036144</v>
      </c>
      <c r="G84" s="216">
        <v>45904</v>
      </c>
      <c r="H84" s="216">
        <v>45916</v>
      </c>
      <c r="I84" s="250">
        <f t="shared" si="2"/>
        <v>12</v>
      </c>
      <c r="J84" s="229">
        <v>45917</v>
      </c>
      <c r="K84" s="228">
        <v>45922</v>
      </c>
      <c r="L84" s="256">
        <f t="shared" si="3"/>
        <v>5</v>
      </c>
      <c r="M84" s="258" t="e">
        <f>#REF!-L84</f>
        <v>#REF!</v>
      </c>
      <c r="N84" s="213" t="s">
        <v>470</v>
      </c>
      <c r="O84" s="292"/>
      <c r="Q84" s="312" t="s">
        <v>215</v>
      </c>
      <c r="R84" s="213" t="s">
        <v>470</v>
      </c>
    </row>
    <row r="85" spans="1:18" s="362" customFormat="1" ht="26" x14ac:dyDescent="0.35">
      <c r="A85" s="350">
        <v>59</v>
      </c>
      <c r="B85" s="351" t="s">
        <v>56</v>
      </c>
      <c r="C85" s="352" t="s">
        <v>217</v>
      </c>
      <c r="D85" s="353" t="s">
        <v>218</v>
      </c>
      <c r="E85" s="354" t="s">
        <v>219</v>
      </c>
      <c r="F85" s="353">
        <v>1744364</v>
      </c>
      <c r="G85" s="355"/>
      <c r="H85" s="355"/>
      <c r="I85" s="356" t="str">
        <f t="shared" si="2"/>
        <v/>
      </c>
      <c r="J85" s="357"/>
      <c r="K85" s="358"/>
      <c r="L85" s="359" t="str">
        <f t="shared" si="3"/>
        <v/>
      </c>
      <c r="M85" s="258"/>
      <c r="N85" s="360" t="s">
        <v>473</v>
      </c>
      <c r="O85" s="361"/>
      <c r="Q85" s="353" t="s">
        <v>218</v>
      </c>
      <c r="R85" s="360" t="s">
        <v>473</v>
      </c>
    </row>
    <row r="86" spans="1:18" ht="26" x14ac:dyDescent="0.35">
      <c r="A86" s="1">
        <v>60</v>
      </c>
      <c r="B86" s="115" t="s">
        <v>220</v>
      </c>
      <c r="C86" s="116" t="s">
        <v>221</v>
      </c>
      <c r="D86" s="37" t="s">
        <v>222</v>
      </c>
      <c r="E86" s="38" t="s">
        <v>223</v>
      </c>
      <c r="F86" s="117" t="s">
        <v>224</v>
      </c>
      <c r="G86" s="216"/>
      <c r="H86" s="216"/>
      <c r="I86" s="250" t="str">
        <f t="shared" si="2"/>
        <v/>
      </c>
      <c r="J86" s="229"/>
      <c r="K86" s="228"/>
      <c r="L86" s="257" t="str">
        <f t="shared" si="3"/>
        <v/>
      </c>
      <c r="M86" s="259"/>
      <c r="N86" s="213" t="s">
        <v>467</v>
      </c>
      <c r="Q86" s="37" t="s">
        <v>222</v>
      </c>
      <c r="R86" s="213" t="s">
        <v>467</v>
      </c>
    </row>
    <row r="87" spans="1:18" ht="26" x14ac:dyDescent="0.35">
      <c r="A87" s="1">
        <v>61</v>
      </c>
      <c r="B87" s="115" t="s">
        <v>225</v>
      </c>
      <c r="C87" s="116" t="s">
        <v>226</v>
      </c>
      <c r="D87" s="37" t="s">
        <v>227</v>
      </c>
      <c r="E87" s="38" t="s">
        <v>228</v>
      </c>
      <c r="F87" s="117" t="s">
        <v>229</v>
      </c>
      <c r="G87" s="216">
        <v>45985</v>
      </c>
      <c r="H87" s="216">
        <v>45997</v>
      </c>
      <c r="I87" s="250">
        <f t="shared" si="2"/>
        <v>12</v>
      </c>
      <c r="J87" s="231"/>
      <c r="K87" s="228"/>
      <c r="L87" s="257" t="str">
        <f t="shared" si="3"/>
        <v/>
      </c>
      <c r="M87" s="259"/>
      <c r="N87" s="213" t="s">
        <v>467</v>
      </c>
      <c r="Q87" s="37" t="s">
        <v>227</v>
      </c>
      <c r="R87" s="213" t="s">
        <v>467</v>
      </c>
    </row>
    <row r="88" spans="1:18" ht="26" x14ac:dyDescent="0.35">
      <c r="A88" s="1">
        <v>62</v>
      </c>
      <c r="B88" s="35" t="s">
        <v>45</v>
      </c>
      <c r="C88" s="116" t="s">
        <v>230</v>
      </c>
      <c r="D88" s="50" t="s">
        <v>231</v>
      </c>
      <c r="E88" s="51" t="s">
        <v>232</v>
      </c>
      <c r="F88" s="118" t="s">
        <v>233</v>
      </c>
      <c r="G88" s="220">
        <v>45910</v>
      </c>
      <c r="H88" s="220">
        <v>45919</v>
      </c>
      <c r="I88" s="250">
        <f t="shared" si="2"/>
        <v>9</v>
      </c>
      <c r="J88" s="231"/>
      <c r="K88" s="231"/>
      <c r="L88" s="257" t="str">
        <f t="shared" si="3"/>
        <v/>
      </c>
      <c r="M88" s="259"/>
      <c r="N88" s="214" t="s">
        <v>480</v>
      </c>
      <c r="Q88" s="50" t="s">
        <v>231</v>
      </c>
      <c r="R88" s="214" t="s">
        <v>480</v>
      </c>
    </row>
    <row r="89" spans="1:18" ht="26" x14ac:dyDescent="0.35">
      <c r="A89" s="1">
        <v>63</v>
      </c>
      <c r="B89" s="115" t="s">
        <v>56</v>
      </c>
      <c r="C89" s="119" t="s">
        <v>234</v>
      </c>
      <c r="D89" s="37" t="s">
        <v>235</v>
      </c>
      <c r="E89" s="38">
        <v>8904035464085</v>
      </c>
      <c r="F89" s="117" t="s">
        <v>236</v>
      </c>
      <c r="G89" s="216">
        <v>45960</v>
      </c>
      <c r="H89" s="216">
        <v>45972</v>
      </c>
      <c r="I89" s="250">
        <f>IF(AND(+G89&lt;&gt;"",+H89&lt;&gt;""),+H89-G89,"")</f>
        <v>12</v>
      </c>
      <c r="J89" s="231">
        <v>45973</v>
      </c>
      <c r="K89" s="228">
        <v>45992</v>
      </c>
      <c r="L89" s="257">
        <f t="shared" si="3"/>
        <v>19</v>
      </c>
      <c r="M89" s="259" t="e">
        <f>#REF!-L89</f>
        <v>#REF!</v>
      </c>
      <c r="N89" s="213" t="s">
        <v>467</v>
      </c>
      <c r="O89" s="293"/>
      <c r="Q89" s="37" t="s">
        <v>235</v>
      </c>
      <c r="R89" s="213" t="s">
        <v>467</v>
      </c>
    </row>
    <row r="90" spans="1:18" x14ac:dyDescent="0.35">
      <c r="A90" s="1">
        <v>64</v>
      </c>
      <c r="B90" s="120" t="s">
        <v>79</v>
      </c>
      <c r="C90" s="121" t="s">
        <v>237</v>
      </c>
      <c r="D90" s="109" t="s">
        <v>238</v>
      </c>
      <c r="E90" s="122" t="s">
        <v>239</v>
      </c>
      <c r="F90" s="123" t="s">
        <v>240</v>
      </c>
      <c r="G90" s="227">
        <v>45925</v>
      </c>
      <c r="H90" s="227">
        <v>45939</v>
      </c>
      <c r="I90" s="250">
        <f t="shared" ref="I90:I94" si="4">IF(AND(+G90&lt;&gt;"",+H90&lt;&gt;""),+H90-G90,"")</f>
        <v>14</v>
      </c>
      <c r="J90" s="233"/>
      <c r="K90" s="234"/>
      <c r="L90" s="257" t="str">
        <f t="shared" si="3"/>
        <v/>
      </c>
      <c r="M90" s="259"/>
      <c r="N90" s="215" t="s">
        <v>467</v>
      </c>
      <c r="Q90" s="109" t="s">
        <v>238</v>
      </c>
      <c r="R90" s="215" t="s">
        <v>467</v>
      </c>
    </row>
    <row r="91" spans="1:18" ht="39" x14ac:dyDescent="0.35">
      <c r="A91" s="1">
        <v>65</v>
      </c>
      <c r="B91" s="35" t="s">
        <v>4</v>
      </c>
      <c r="C91" s="116" t="s">
        <v>241</v>
      </c>
      <c r="D91" s="50" t="s">
        <v>242</v>
      </c>
      <c r="E91" s="51" t="s">
        <v>243</v>
      </c>
      <c r="F91" s="118" t="s">
        <v>244</v>
      </c>
      <c r="G91" s="220" t="s">
        <v>583</v>
      </c>
      <c r="H91" s="220"/>
      <c r="I91" s="250" t="str">
        <f t="shared" si="4"/>
        <v/>
      </c>
      <c r="J91" s="231"/>
      <c r="K91" s="231"/>
      <c r="L91" s="257" t="str">
        <f t="shared" si="3"/>
        <v/>
      </c>
      <c r="M91" s="259"/>
      <c r="N91" s="214" t="s">
        <v>485</v>
      </c>
      <c r="Q91" s="50" t="s">
        <v>242</v>
      </c>
      <c r="R91" s="214" t="s">
        <v>485</v>
      </c>
    </row>
    <row r="92" spans="1:18" ht="26" x14ac:dyDescent="0.35">
      <c r="A92" s="1">
        <v>66</v>
      </c>
      <c r="B92" s="124" t="s">
        <v>245</v>
      </c>
      <c r="C92" s="116" t="s">
        <v>246</v>
      </c>
      <c r="D92" s="50" t="s">
        <v>247</v>
      </c>
      <c r="E92" s="51" t="s">
        <v>248</v>
      </c>
      <c r="F92" s="50">
        <v>1529119</v>
      </c>
      <c r="G92" s="220">
        <v>45941</v>
      </c>
      <c r="H92" s="220">
        <v>45953</v>
      </c>
      <c r="I92" s="250">
        <f t="shared" si="4"/>
        <v>12</v>
      </c>
      <c r="J92" s="231"/>
      <c r="K92" s="231"/>
      <c r="L92" s="257" t="str">
        <f t="shared" si="3"/>
        <v/>
      </c>
      <c r="M92" s="259"/>
      <c r="N92" s="210" t="s">
        <v>473</v>
      </c>
      <c r="Q92" s="50" t="s">
        <v>247</v>
      </c>
      <c r="R92" s="210" t="s">
        <v>473</v>
      </c>
    </row>
    <row r="93" spans="1:18" ht="26" x14ac:dyDescent="0.35">
      <c r="A93" s="1">
        <v>67</v>
      </c>
      <c r="B93" s="115" t="s">
        <v>4</v>
      </c>
      <c r="C93" s="116" t="s">
        <v>249</v>
      </c>
      <c r="D93" s="37" t="s">
        <v>250</v>
      </c>
      <c r="E93" s="38" t="s">
        <v>251</v>
      </c>
      <c r="F93" s="117" t="s">
        <v>252</v>
      </c>
      <c r="G93" s="216"/>
      <c r="H93" s="216"/>
      <c r="I93" s="250" t="str">
        <f t="shared" si="4"/>
        <v/>
      </c>
      <c r="J93" s="231"/>
      <c r="K93" s="228"/>
      <c r="L93" s="257" t="str">
        <f t="shared" si="3"/>
        <v/>
      </c>
      <c r="M93" s="259"/>
      <c r="N93" s="213" t="s">
        <v>467</v>
      </c>
      <c r="Q93" s="37" t="s">
        <v>250</v>
      </c>
      <c r="R93" s="213" t="s">
        <v>467</v>
      </c>
    </row>
    <row r="94" spans="1:18" ht="26" x14ac:dyDescent="0.35">
      <c r="A94" s="1">
        <v>68</v>
      </c>
      <c r="B94" s="35"/>
      <c r="C94" s="325" t="s">
        <v>253</v>
      </c>
      <c r="D94" s="326" t="s">
        <v>254</v>
      </c>
      <c r="E94" s="327" t="s">
        <v>255</v>
      </c>
      <c r="F94" s="326">
        <v>4829068</v>
      </c>
      <c r="G94" s="220">
        <v>45922</v>
      </c>
      <c r="H94" s="220">
        <v>45946</v>
      </c>
      <c r="I94" s="250">
        <f t="shared" si="4"/>
        <v>24</v>
      </c>
      <c r="J94" s="231"/>
      <c r="K94" s="231"/>
      <c r="L94" s="257" t="str">
        <f t="shared" si="3"/>
        <v/>
      </c>
      <c r="M94" s="259"/>
      <c r="N94" s="210" t="s">
        <v>492</v>
      </c>
      <c r="O94" s="290" t="s">
        <v>589</v>
      </c>
      <c r="Q94" s="326" t="s">
        <v>254</v>
      </c>
      <c r="R94" s="210" t="s">
        <v>492</v>
      </c>
    </row>
    <row r="95" spans="1:18" x14ac:dyDescent="0.35">
      <c r="J95" s="260"/>
    </row>
    <row r="97" spans="6:8" x14ac:dyDescent="0.35">
      <c r="F97" s="251"/>
      <c r="G97" s="252" t="s">
        <v>513</v>
      </c>
      <c r="H97" s="252"/>
    </row>
  </sheetData>
  <pageMargins left="0.70866141732283472" right="0.70866141732283472" top="0.74803149606299213" bottom="0.74803149606299213" header="0.31496062992125984" footer="0.31496062992125984"/>
  <pageSetup paperSize="9" scale="70" fitToHeight="4" orientation="landscape" horizontalDpi="4294967293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586D3-6CB6-4DAC-91F5-E8C2446E65CA}">
  <dimension ref="A1:U96"/>
  <sheetViews>
    <sheetView topLeftCell="A85" workbookViewId="0">
      <selection activeCell="Q4" sqref="Q4:Q94"/>
    </sheetView>
  </sheetViews>
  <sheetFormatPr defaultRowHeight="20" outlineLevelCol="1" x14ac:dyDescent="0.35"/>
  <cols>
    <col min="1" max="1" width="3.7265625" style="1" customWidth="1"/>
    <col min="2" max="2" width="10.7265625" style="172" customWidth="1"/>
    <col min="3" max="3" width="22.1796875" style="159" customWidth="1"/>
    <col min="4" max="4" width="14.453125" style="2" hidden="1" customWidth="1"/>
    <col min="5" max="5" width="10.7265625" style="125" customWidth="1"/>
    <col min="6" max="6" width="21.453125" style="19" customWidth="1"/>
    <col min="7" max="7" width="25.7265625" style="126" customWidth="1"/>
    <col min="8" max="8" width="10.7265625" style="19" customWidth="1"/>
    <col min="9" max="10" width="10.7265625" style="127" customWidth="1"/>
    <col min="11" max="14" width="10.7265625" style="128" hidden="1" customWidth="1" outlineLevel="1"/>
    <col min="15" max="15" width="10.7265625" style="128" customWidth="1" collapsed="1"/>
    <col min="16" max="16" width="10.7265625" style="202" customWidth="1"/>
    <col min="17" max="17" width="10.7265625" style="159" customWidth="1"/>
    <col min="18" max="18" width="6.26953125" style="132" customWidth="1"/>
    <col min="19" max="19" width="12.26953125" style="19" customWidth="1"/>
    <col min="20" max="20" width="17" style="9" customWidth="1"/>
    <col min="21" max="21" width="9.1796875" style="10"/>
    <col min="22" max="249" width="9.1796875" style="9"/>
    <col min="250" max="250" width="7.453125" style="9" customWidth="1"/>
    <col min="251" max="251" width="29.453125" style="9" customWidth="1"/>
    <col min="252" max="252" width="17.81640625" style="9" customWidth="1"/>
    <col min="253" max="253" width="16.7265625" style="9" customWidth="1"/>
    <col min="254" max="257" width="10.7265625" style="9" customWidth="1"/>
    <col min="258" max="258" width="12.7265625" style="9" customWidth="1"/>
    <col min="259" max="259" width="12.1796875" style="9" customWidth="1"/>
    <col min="260" max="261" width="10.7265625" style="9" customWidth="1"/>
    <col min="262" max="262" width="12.7265625" style="9" customWidth="1"/>
    <col min="263" max="263" width="10.7265625" style="9" customWidth="1"/>
    <col min="264" max="264" width="13.54296875" style="9" customWidth="1"/>
    <col min="265" max="265" width="10.7265625" style="9" customWidth="1"/>
    <col min="266" max="266" width="12" style="9" customWidth="1"/>
    <col min="267" max="270" width="9.1796875" style="9"/>
    <col min="271" max="272" width="10.7265625" style="9" customWidth="1"/>
    <col min="273" max="505" width="9.1796875" style="9"/>
    <col min="506" max="506" width="7.453125" style="9" customWidth="1"/>
    <col min="507" max="507" width="29.453125" style="9" customWidth="1"/>
    <col min="508" max="508" width="17.81640625" style="9" customWidth="1"/>
    <col min="509" max="509" width="16.7265625" style="9" customWidth="1"/>
    <col min="510" max="513" width="10.7265625" style="9" customWidth="1"/>
    <col min="514" max="514" width="12.7265625" style="9" customWidth="1"/>
    <col min="515" max="515" width="12.1796875" style="9" customWidth="1"/>
    <col min="516" max="517" width="10.7265625" style="9" customWidth="1"/>
    <col min="518" max="518" width="12.7265625" style="9" customWidth="1"/>
    <col min="519" max="519" width="10.7265625" style="9" customWidth="1"/>
    <col min="520" max="520" width="13.54296875" style="9" customWidth="1"/>
    <col min="521" max="521" width="10.7265625" style="9" customWidth="1"/>
    <col min="522" max="522" width="12" style="9" customWidth="1"/>
    <col min="523" max="526" width="9.1796875" style="9"/>
    <col min="527" max="528" width="10.7265625" style="9" customWidth="1"/>
    <col min="529" max="761" width="9.1796875" style="9"/>
    <col min="762" max="762" width="7.453125" style="9" customWidth="1"/>
    <col min="763" max="763" width="29.453125" style="9" customWidth="1"/>
    <col min="764" max="764" width="17.81640625" style="9" customWidth="1"/>
    <col min="765" max="765" width="16.7265625" style="9" customWidth="1"/>
    <col min="766" max="769" width="10.7265625" style="9" customWidth="1"/>
    <col min="770" max="770" width="12.7265625" style="9" customWidth="1"/>
    <col min="771" max="771" width="12.1796875" style="9" customWidth="1"/>
    <col min="772" max="773" width="10.7265625" style="9" customWidth="1"/>
    <col min="774" max="774" width="12.7265625" style="9" customWidth="1"/>
    <col min="775" max="775" width="10.7265625" style="9" customWidth="1"/>
    <col min="776" max="776" width="13.54296875" style="9" customWidth="1"/>
    <col min="777" max="777" width="10.7265625" style="9" customWidth="1"/>
    <col min="778" max="778" width="12" style="9" customWidth="1"/>
    <col min="779" max="782" width="9.1796875" style="9"/>
    <col min="783" max="784" width="10.7265625" style="9" customWidth="1"/>
    <col min="785" max="1017" width="9.1796875" style="9"/>
    <col min="1018" max="1018" width="7.453125" style="9" customWidth="1"/>
    <col min="1019" max="1019" width="29.453125" style="9" customWidth="1"/>
    <col min="1020" max="1020" width="17.81640625" style="9" customWidth="1"/>
    <col min="1021" max="1021" width="16.7265625" style="9" customWidth="1"/>
    <col min="1022" max="1025" width="10.7265625" style="9" customWidth="1"/>
    <col min="1026" max="1026" width="12.7265625" style="9" customWidth="1"/>
    <col min="1027" max="1027" width="12.1796875" style="9" customWidth="1"/>
    <col min="1028" max="1029" width="10.7265625" style="9" customWidth="1"/>
    <col min="1030" max="1030" width="12.7265625" style="9" customWidth="1"/>
    <col min="1031" max="1031" width="10.7265625" style="9" customWidth="1"/>
    <col min="1032" max="1032" width="13.54296875" style="9" customWidth="1"/>
    <col min="1033" max="1033" width="10.7265625" style="9" customWidth="1"/>
    <col min="1034" max="1034" width="12" style="9" customWidth="1"/>
    <col min="1035" max="1038" width="9.1796875" style="9"/>
    <col min="1039" max="1040" width="10.7265625" style="9" customWidth="1"/>
    <col min="1041" max="1273" width="9.1796875" style="9"/>
    <col min="1274" max="1274" width="7.453125" style="9" customWidth="1"/>
    <col min="1275" max="1275" width="29.453125" style="9" customWidth="1"/>
    <col min="1276" max="1276" width="17.81640625" style="9" customWidth="1"/>
    <col min="1277" max="1277" width="16.7265625" style="9" customWidth="1"/>
    <col min="1278" max="1281" width="10.7265625" style="9" customWidth="1"/>
    <col min="1282" max="1282" width="12.7265625" style="9" customWidth="1"/>
    <col min="1283" max="1283" width="12.1796875" style="9" customWidth="1"/>
    <col min="1284" max="1285" width="10.7265625" style="9" customWidth="1"/>
    <col min="1286" max="1286" width="12.7265625" style="9" customWidth="1"/>
    <col min="1287" max="1287" width="10.7265625" style="9" customWidth="1"/>
    <col min="1288" max="1288" width="13.54296875" style="9" customWidth="1"/>
    <col min="1289" max="1289" width="10.7265625" style="9" customWidth="1"/>
    <col min="1290" max="1290" width="12" style="9" customWidth="1"/>
    <col min="1291" max="1294" width="9.1796875" style="9"/>
    <col min="1295" max="1296" width="10.7265625" style="9" customWidth="1"/>
    <col min="1297" max="1529" width="9.1796875" style="9"/>
    <col min="1530" max="1530" width="7.453125" style="9" customWidth="1"/>
    <col min="1531" max="1531" width="29.453125" style="9" customWidth="1"/>
    <col min="1532" max="1532" width="17.81640625" style="9" customWidth="1"/>
    <col min="1533" max="1533" width="16.7265625" style="9" customWidth="1"/>
    <col min="1534" max="1537" width="10.7265625" style="9" customWidth="1"/>
    <col min="1538" max="1538" width="12.7265625" style="9" customWidth="1"/>
    <col min="1539" max="1539" width="12.1796875" style="9" customWidth="1"/>
    <col min="1540" max="1541" width="10.7265625" style="9" customWidth="1"/>
    <col min="1542" max="1542" width="12.7265625" style="9" customWidth="1"/>
    <col min="1543" max="1543" width="10.7265625" style="9" customWidth="1"/>
    <col min="1544" max="1544" width="13.54296875" style="9" customWidth="1"/>
    <col min="1545" max="1545" width="10.7265625" style="9" customWidth="1"/>
    <col min="1546" max="1546" width="12" style="9" customWidth="1"/>
    <col min="1547" max="1550" width="9.1796875" style="9"/>
    <col min="1551" max="1552" width="10.7265625" style="9" customWidth="1"/>
    <col min="1553" max="1785" width="9.1796875" style="9"/>
    <col min="1786" max="1786" width="7.453125" style="9" customWidth="1"/>
    <col min="1787" max="1787" width="29.453125" style="9" customWidth="1"/>
    <col min="1788" max="1788" width="17.81640625" style="9" customWidth="1"/>
    <col min="1789" max="1789" width="16.7265625" style="9" customWidth="1"/>
    <col min="1790" max="1793" width="10.7265625" style="9" customWidth="1"/>
    <col min="1794" max="1794" width="12.7265625" style="9" customWidth="1"/>
    <col min="1795" max="1795" width="12.1796875" style="9" customWidth="1"/>
    <col min="1796" max="1797" width="10.7265625" style="9" customWidth="1"/>
    <col min="1798" max="1798" width="12.7265625" style="9" customWidth="1"/>
    <col min="1799" max="1799" width="10.7265625" style="9" customWidth="1"/>
    <col min="1800" max="1800" width="13.54296875" style="9" customWidth="1"/>
    <col min="1801" max="1801" width="10.7265625" style="9" customWidth="1"/>
    <col min="1802" max="1802" width="12" style="9" customWidth="1"/>
    <col min="1803" max="1806" width="9.1796875" style="9"/>
    <col min="1807" max="1808" width="10.7265625" style="9" customWidth="1"/>
    <col min="1809" max="2041" width="9.1796875" style="9"/>
    <col min="2042" max="2042" width="7.453125" style="9" customWidth="1"/>
    <col min="2043" max="2043" width="29.453125" style="9" customWidth="1"/>
    <col min="2044" max="2044" width="17.81640625" style="9" customWidth="1"/>
    <col min="2045" max="2045" width="16.7265625" style="9" customWidth="1"/>
    <col min="2046" max="2049" width="10.7265625" style="9" customWidth="1"/>
    <col min="2050" max="2050" width="12.7265625" style="9" customWidth="1"/>
    <col min="2051" max="2051" width="12.1796875" style="9" customWidth="1"/>
    <col min="2052" max="2053" width="10.7265625" style="9" customWidth="1"/>
    <col min="2054" max="2054" width="12.7265625" style="9" customWidth="1"/>
    <col min="2055" max="2055" width="10.7265625" style="9" customWidth="1"/>
    <col min="2056" max="2056" width="13.54296875" style="9" customWidth="1"/>
    <col min="2057" max="2057" width="10.7265625" style="9" customWidth="1"/>
    <col min="2058" max="2058" width="12" style="9" customWidth="1"/>
    <col min="2059" max="2062" width="9.1796875" style="9"/>
    <col min="2063" max="2064" width="10.7265625" style="9" customWidth="1"/>
    <col min="2065" max="2297" width="9.1796875" style="9"/>
    <col min="2298" max="2298" width="7.453125" style="9" customWidth="1"/>
    <col min="2299" max="2299" width="29.453125" style="9" customWidth="1"/>
    <col min="2300" max="2300" width="17.81640625" style="9" customWidth="1"/>
    <col min="2301" max="2301" width="16.7265625" style="9" customWidth="1"/>
    <col min="2302" max="2305" width="10.7265625" style="9" customWidth="1"/>
    <col min="2306" max="2306" width="12.7265625" style="9" customWidth="1"/>
    <col min="2307" max="2307" width="12.1796875" style="9" customWidth="1"/>
    <col min="2308" max="2309" width="10.7265625" style="9" customWidth="1"/>
    <col min="2310" max="2310" width="12.7265625" style="9" customWidth="1"/>
    <col min="2311" max="2311" width="10.7265625" style="9" customWidth="1"/>
    <col min="2312" max="2312" width="13.54296875" style="9" customWidth="1"/>
    <col min="2313" max="2313" width="10.7265625" style="9" customWidth="1"/>
    <col min="2314" max="2314" width="12" style="9" customWidth="1"/>
    <col min="2315" max="2318" width="9.1796875" style="9"/>
    <col min="2319" max="2320" width="10.7265625" style="9" customWidth="1"/>
    <col min="2321" max="2553" width="9.1796875" style="9"/>
    <col min="2554" max="2554" width="7.453125" style="9" customWidth="1"/>
    <col min="2555" max="2555" width="29.453125" style="9" customWidth="1"/>
    <col min="2556" max="2556" width="17.81640625" style="9" customWidth="1"/>
    <col min="2557" max="2557" width="16.7265625" style="9" customWidth="1"/>
    <col min="2558" max="2561" width="10.7265625" style="9" customWidth="1"/>
    <col min="2562" max="2562" width="12.7265625" style="9" customWidth="1"/>
    <col min="2563" max="2563" width="12.1796875" style="9" customWidth="1"/>
    <col min="2564" max="2565" width="10.7265625" style="9" customWidth="1"/>
    <col min="2566" max="2566" width="12.7265625" style="9" customWidth="1"/>
    <col min="2567" max="2567" width="10.7265625" style="9" customWidth="1"/>
    <col min="2568" max="2568" width="13.54296875" style="9" customWidth="1"/>
    <col min="2569" max="2569" width="10.7265625" style="9" customWidth="1"/>
    <col min="2570" max="2570" width="12" style="9" customWidth="1"/>
    <col min="2571" max="2574" width="9.1796875" style="9"/>
    <col min="2575" max="2576" width="10.7265625" style="9" customWidth="1"/>
    <col min="2577" max="2809" width="9.1796875" style="9"/>
    <col min="2810" max="2810" width="7.453125" style="9" customWidth="1"/>
    <col min="2811" max="2811" width="29.453125" style="9" customWidth="1"/>
    <col min="2812" max="2812" width="17.81640625" style="9" customWidth="1"/>
    <col min="2813" max="2813" width="16.7265625" style="9" customWidth="1"/>
    <col min="2814" max="2817" width="10.7265625" style="9" customWidth="1"/>
    <col min="2818" max="2818" width="12.7265625" style="9" customWidth="1"/>
    <col min="2819" max="2819" width="12.1796875" style="9" customWidth="1"/>
    <col min="2820" max="2821" width="10.7265625" style="9" customWidth="1"/>
    <col min="2822" max="2822" width="12.7265625" style="9" customWidth="1"/>
    <col min="2823" max="2823" width="10.7265625" style="9" customWidth="1"/>
    <col min="2824" max="2824" width="13.54296875" style="9" customWidth="1"/>
    <col min="2825" max="2825" width="10.7265625" style="9" customWidth="1"/>
    <col min="2826" max="2826" width="12" style="9" customWidth="1"/>
    <col min="2827" max="2830" width="9.1796875" style="9"/>
    <col min="2831" max="2832" width="10.7265625" style="9" customWidth="1"/>
    <col min="2833" max="3065" width="9.1796875" style="9"/>
    <col min="3066" max="3066" width="7.453125" style="9" customWidth="1"/>
    <col min="3067" max="3067" width="29.453125" style="9" customWidth="1"/>
    <col min="3068" max="3068" width="17.81640625" style="9" customWidth="1"/>
    <col min="3069" max="3069" width="16.7265625" style="9" customWidth="1"/>
    <col min="3070" max="3073" width="10.7265625" style="9" customWidth="1"/>
    <col min="3074" max="3074" width="12.7265625" style="9" customWidth="1"/>
    <col min="3075" max="3075" width="12.1796875" style="9" customWidth="1"/>
    <col min="3076" max="3077" width="10.7265625" style="9" customWidth="1"/>
    <col min="3078" max="3078" width="12.7265625" style="9" customWidth="1"/>
    <col min="3079" max="3079" width="10.7265625" style="9" customWidth="1"/>
    <col min="3080" max="3080" width="13.54296875" style="9" customWidth="1"/>
    <col min="3081" max="3081" width="10.7265625" style="9" customWidth="1"/>
    <col min="3082" max="3082" width="12" style="9" customWidth="1"/>
    <col min="3083" max="3086" width="9.1796875" style="9"/>
    <col min="3087" max="3088" width="10.7265625" style="9" customWidth="1"/>
    <col min="3089" max="3321" width="9.1796875" style="9"/>
    <col min="3322" max="3322" width="7.453125" style="9" customWidth="1"/>
    <col min="3323" max="3323" width="29.453125" style="9" customWidth="1"/>
    <col min="3324" max="3324" width="17.81640625" style="9" customWidth="1"/>
    <col min="3325" max="3325" width="16.7265625" style="9" customWidth="1"/>
    <col min="3326" max="3329" width="10.7265625" style="9" customWidth="1"/>
    <col min="3330" max="3330" width="12.7265625" style="9" customWidth="1"/>
    <col min="3331" max="3331" width="12.1796875" style="9" customWidth="1"/>
    <col min="3332" max="3333" width="10.7265625" style="9" customWidth="1"/>
    <col min="3334" max="3334" width="12.7265625" style="9" customWidth="1"/>
    <col min="3335" max="3335" width="10.7265625" style="9" customWidth="1"/>
    <col min="3336" max="3336" width="13.54296875" style="9" customWidth="1"/>
    <col min="3337" max="3337" width="10.7265625" style="9" customWidth="1"/>
    <col min="3338" max="3338" width="12" style="9" customWidth="1"/>
    <col min="3339" max="3342" width="9.1796875" style="9"/>
    <col min="3343" max="3344" width="10.7265625" style="9" customWidth="1"/>
    <col min="3345" max="3577" width="9.1796875" style="9"/>
    <col min="3578" max="3578" width="7.453125" style="9" customWidth="1"/>
    <col min="3579" max="3579" width="29.453125" style="9" customWidth="1"/>
    <col min="3580" max="3580" width="17.81640625" style="9" customWidth="1"/>
    <col min="3581" max="3581" width="16.7265625" style="9" customWidth="1"/>
    <col min="3582" max="3585" width="10.7265625" style="9" customWidth="1"/>
    <col min="3586" max="3586" width="12.7265625" style="9" customWidth="1"/>
    <col min="3587" max="3587" width="12.1796875" style="9" customWidth="1"/>
    <col min="3588" max="3589" width="10.7265625" style="9" customWidth="1"/>
    <col min="3590" max="3590" width="12.7265625" style="9" customWidth="1"/>
    <col min="3591" max="3591" width="10.7265625" style="9" customWidth="1"/>
    <col min="3592" max="3592" width="13.54296875" style="9" customWidth="1"/>
    <col min="3593" max="3593" width="10.7265625" style="9" customWidth="1"/>
    <col min="3594" max="3594" width="12" style="9" customWidth="1"/>
    <col min="3595" max="3598" width="9.1796875" style="9"/>
    <col min="3599" max="3600" width="10.7265625" style="9" customWidth="1"/>
    <col min="3601" max="3833" width="9.1796875" style="9"/>
    <col min="3834" max="3834" width="7.453125" style="9" customWidth="1"/>
    <col min="3835" max="3835" width="29.453125" style="9" customWidth="1"/>
    <col min="3836" max="3836" width="17.81640625" style="9" customWidth="1"/>
    <col min="3837" max="3837" width="16.7265625" style="9" customWidth="1"/>
    <col min="3838" max="3841" width="10.7265625" style="9" customWidth="1"/>
    <col min="3842" max="3842" width="12.7265625" style="9" customWidth="1"/>
    <col min="3843" max="3843" width="12.1796875" style="9" customWidth="1"/>
    <col min="3844" max="3845" width="10.7265625" style="9" customWidth="1"/>
    <col min="3846" max="3846" width="12.7265625" style="9" customWidth="1"/>
    <col min="3847" max="3847" width="10.7265625" style="9" customWidth="1"/>
    <col min="3848" max="3848" width="13.54296875" style="9" customWidth="1"/>
    <col min="3849" max="3849" width="10.7265625" style="9" customWidth="1"/>
    <col min="3850" max="3850" width="12" style="9" customWidth="1"/>
    <col min="3851" max="3854" width="9.1796875" style="9"/>
    <col min="3855" max="3856" width="10.7265625" style="9" customWidth="1"/>
    <col min="3857" max="4089" width="9.1796875" style="9"/>
    <col min="4090" max="4090" width="7.453125" style="9" customWidth="1"/>
    <col min="4091" max="4091" width="29.453125" style="9" customWidth="1"/>
    <col min="4092" max="4092" width="17.81640625" style="9" customWidth="1"/>
    <col min="4093" max="4093" width="16.7265625" style="9" customWidth="1"/>
    <col min="4094" max="4097" width="10.7265625" style="9" customWidth="1"/>
    <col min="4098" max="4098" width="12.7265625" style="9" customWidth="1"/>
    <col min="4099" max="4099" width="12.1796875" style="9" customWidth="1"/>
    <col min="4100" max="4101" width="10.7265625" style="9" customWidth="1"/>
    <col min="4102" max="4102" width="12.7265625" style="9" customWidth="1"/>
    <col min="4103" max="4103" width="10.7265625" style="9" customWidth="1"/>
    <col min="4104" max="4104" width="13.54296875" style="9" customWidth="1"/>
    <col min="4105" max="4105" width="10.7265625" style="9" customWidth="1"/>
    <col min="4106" max="4106" width="12" style="9" customWidth="1"/>
    <col min="4107" max="4110" width="9.1796875" style="9"/>
    <col min="4111" max="4112" width="10.7265625" style="9" customWidth="1"/>
    <col min="4113" max="4345" width="9.1796875" style="9"/>
    <col min="4346" max="4346" width="7.453125" style="9" customWidth="1"/>
    <col min="4347" max="4347" width="29.453125" style="9" customWidth="1"/>
    <col min="4348" max="4348" width="17.81640625" style="9" customWidth="1"/>
    <col min="4349" max="4349" width="16.7265625" style="9" customWidth="1"/>
    <col min="4350" max="4353" width="10.7265625" style="9" customWidth="1"/>
    <col min="4354" max="4354" width="12.7265625" style="9" customWidth="1"/>
    <col min="4355" max="4355" width="12.1796875" style="9" customWidth="1"/>
    <col min="4356" max="4357" width="10.7265625" style="9" customWidth="1"/>
    <col min="4358" max="4358" width="12.7265625" style="9" customWidth="1"/>
    <col min="4359" max="4359" width="10.7265625" style="9" customWidth="1"/>
    <col min="4360" max="4360" width="13.54296875" style="9" customWidth="1"/>
    <col min="4361" max="4361" width="10.7265625" style="9" customWidth="1"/>
    <col min="4362" max="4362" width="12" style="9" customWidth="1"/>
    <col min="4363" max="4366" width="9.1796875" style="9"/>
    <col min="4367" max="4368" width="10.7265625" style="9" customWidth="1"/>
    <col min="4369" max="4601" width="9.1796875" style="9"/>
    <col min="4602" max="4602" width="7.453125" style="9" customWidth="1"/>
    <col min="4603" max="4603" width="29.453125" style="9" customWidth="1"/>
    <col min="4604" max="4604" width="17.81640625" style="9" customWidth="1"/>
    <col min="4605" max="4605" width="16.7265625" style="9" customWidth="1"/>
    <col min="4606" max="4609" width="10.7265625" style="9" customWidth="1"/>
    <col min="4610" max="4610" width="12.7265625" style="9" customWidth="1"/>
    <col min="4611" max="4611" width="12.1796875" style="9" customWidth="1"/>
    <col min="4612" max="4613" width="10.7265625" style="9" customWidth="1"/>
    <col min="4614" max="4614" width="12.7265625" style="9" customWidth="1"/>
    <col min="4615" max="4615" width="10.7265625" style="9" customWidth="1"/>
    <col min="4616" max="4616" width="13.54296875" style="9" customWidth="1"/>
    <col min="4617" max="4617" width="10.7265625" style="9" customWidth="1"/>
    <col min="4618" max="4618" width="12" style="9" customWidth="1"/>
    <col min="4619" max="4622" width="9.1796875" style="9"/>
    <col min="4623" max="4624" width="10.7265625" style="9" customWidth="1"/>
    <col min="4625" max="4857" width="9.1796875" style="9"/>
    <col min="4858" max="4858" width="7.453125" style="9" customWidth="1"/>
    <col min="4859" max="4859" width="29.453125" style="9" customWidth="1"/>
    <col min="4860" max="4860" width="17.81640625" style="9" customWidth="1"/>
    <col min="4861" max="4861" width="16.7265625" style="9" customWidth="1"/>
    <col min="4862" max="4865" width="10.7265625" style="9" customWidth="1"/>
    <col min="4866" max="4866" width="12.7265625" style="9" customWidth="1"/>
    <col min="4867" max="4867" width="12.1796875" style="9" customWidth="1"/>
    <col min="4868" max="4869" width="10.7265625" style="9" customWidth="1"/>
    <col min="4870" max="4870" width="12.7265625" style="9" customWidth="1"/>
    <col min="4871" max="4871" width="10.7265625" style="9" customWidth="1"/>
    <col min="4872" max="4872" width="13.54296875" style="9" customWidth="1"/>
    <col min="4873" max="4873" width="10.7265625" style="9" customWidth="1"/>
    <col min="4874" max="4874" width="12" style="9" customWidth="1"/>
    <col min="4875" max="4878" width="9.1796875" style="9"/>
    <col min="4879" max="4880" width="10.7265625" style="9" customWidth="1"/>
    <col min="4881" max="5113" width="9.1796875" style="9"/>
    <col min="5114" max="5114" width="7.453125" style="9" customWidth="1"/>
    <col min="5115" max="5115" width="29.453125" style="9" customWidth="1"/>
    <col min="5116" max="5116" width="17.81640625" style="9" customWidth="1"/>
    <col min="5117" max="5117" width="16.7265625" style="9" customWidth="1"/>
    <col min="5118" max="5121" width="10.7265625" style="9" customWidth="1"/>
    <col min="5122" max="5122" width="12.7265625" style="9" customWidth="1"/>
    <col min="5123" max="5123" width="12.1796875" style="9" customWidth="1"/>
    <col min="5124" max="5125" width="10.7265625" style="9" customWidth="1"/>
    <col min="5126" max="5126" width="12.7265625" style="9" customWidth="1"/>
    <col min="5127" max="5127" width="10.7265625" style="9" customWidth="1"/>
    <col min="5128" max="5128" width="13.54296875" style="9" customWidth="1"/>
    <col min="5129" max="5129" width="10.7265625" style="9" customWidth="1"/>
    <col min="5130" max="5130" width="12" style="9" customWidth="1"/>
    <col min="5131" max="5134" width="9.1796875" style="9"/>
    <col min="5135" max="5136" width="10.7265625" style="9" customWidth="1"/>
    <col min="5137" max="5369" width="9.1796875" style="9"/>
    <col min="5370" max="5370" width="7.453125" style="9" customWidth="1"/>
    <col min="5371" max="5371" width="29.453125" style="9" customWidth="1"/>
    <col min="5372" max="5372" width="17.81640625" style="9" customWidth="1"/>
    <col min="5373" max="5373" width="16.7265625" style="9" customWidth="1"/>
    <col min="5374" max="5377" width="10.7265625" style="9" customWidth="1"/>
    <col min="5378" max="5378" width="12.7265625" style="9" customWidth="1"/>
    <col min="5379" max="5379" width="12.1796875" style="9" customWidth="1"/>
    <col min="5380" max="5381" width="10.7265625" style="9" customWidth="1"/>
    <col min="5382" max="5382" width="12.7265625" style="9" customWidth="1"/>
    <col min="5383" max="5383" width="10.7265625" style="9" customWidth="1"/>
    <col min="5384" max="5384" width="13.54296875" style="9" customWidth="1"/>
    <col min="5385" max="5385" width="10.7265625" style="9" customWidth="1"/>
    <col min="5386" max="5386" width="12" style="9" customWidth="1"/>
    <col min="5387" max="5390" width="9.1796875" style="9"/>
    <col min="5391" max="5392" width="10.7265625" style="9" customWidth="1"/>
    <col min="5393" max="5625" width="9.1796875" style="9"/>
    <col min="5626" max="5626" width="7.453125" style="9" customWidth="1"/>
    <col min="5627" max="5627" width="29.453125" style="9" customWidth="1"/>
    <col min="5628" max="5628" width="17.81640625" style="9" customWidth="1"/>
    <col min="5629" max="5629" width="16.7265625" style="9" customWidth="1"/>
    <col min="5630" max="5633" width="10.7265625" style="9" customWidth="1"/>
    <col min="5634" max="5634" width="12.7265625" style="9" customWidth="1"/>
    <col min="5635" max="5635" width="12.1796875" style="9" customWidth="1"/>
    <col min="5636" max="5637" width="10.7265625" style="9" customWidth="1"/>
    <col min="5638" max="5638" width="12.7265625" style="9" customWidth="1"/>
    <col min="5639" max="5639" width="10.7265625" style="9" customWidth="1"/>
    <col min="5640" max="5640" width="13.54296875" style="9" customWidth="1"/>
    <col min="5641" max="5641" width="10.7265625" style="9" customWidth="1"/>
    <col min="5642" max="5642" width="12" style="9" customWidth="1"/>
    <col min="5643" max="5646" width="9.1796875" style="9"/>
    <col min="5647" max="5648" width="10.7265625" style="9" customWidth="1"/>
    <col min="5649" max="5881" width="9.1796875" style="9"/>
    <col min="5882" max="5882" width="7.453125" style="9" customWidth="1"/>
    <col min="5883" max="5883" width="29.453125" style="9" customWidth="1"/>
    <col min="5884" max="5884" width="17.81640625" style="9" customWidth="1"/>
    <col min="5885" max="5885" width="16.7265625" style="9" customWidth="1"/>
    <col min="5886" max="5889" width="10.7265625" style="9" customWidth="1"/>
    <col min="5890" max="5890" width="12.7265625" style="9" customWidth="1"/>
    <col min="5891" max="5891" width="12.1796875" style="9" customWidth="1"/>
    <col min="5892" max="5893" width="10.7265625" style="9" customWidth="1"/>
    <col min="5894" max="5894" width="12.7265625" style="9" customWidth="1"/>
    <col min="5895" max="5895" width="10.7265625" style="9" customWidth="1"/>
    <col min="5896" max="5896" width="13.54296875" style="9" customWidth="1"/>
    <col min="5897" max="5897" width="10.7265625" style="9" customWidth="1"/>
    <col min="5898" max="5898" width="12" style="9" customWidth="1"/>
    <col min="5899" max="5902" width="9.1796875" style="9"/>
    <col min="5903" max="5904" width="10.7265625" style="9" customWidth="1"/>
    <col min="5905" max="6137" width="9.1796875" style="9"/>
    <col min="6138" max="6138" width="7.453125" style="9" customWidth="1"/>
    <col min="6139" max="6139" width="29.453125" style="9" customWidth="1"/>
    <col min="6140" max="6140" width="17.81640625" style="9" customWidth="1"/>
    <col min="6141" max="6141" width="16.7265625" style="9" customWidth="1"/>
    <col min="6142" max="6145" width="10.7265625" style="9" customWidth="1"/>
    <col min="6146" max="6146" width="12.7265625" style="9" customWidth="1"/>
    <col min="6147" max="6147" width="12.1796875" style="9" customWidth="1"/>
    <col min="6148" max="6149" width="10.7265625" style="9" customWidth="1"/>
    <col min="6150" max="6150" width="12.7265625" style="9" customWidth="1"/>
    <col min="6151" max="6151" width="10.7265625" style="9" customWidth="1"/>
    <col min="6152" max="6152" width="13.54296875" style="9" customWidth="1"/>
    <col min="6153" max="6153" width="10.7265625" style="9" customWidth="1"/>
    <col min="6154" max="6154" width="12" style="9" customWidth="1"/>
    <col min="6155" max="6158" width="9.1796875" style="9"/>
    <col min="6159" max="6160" width="10.7265625" style="9" customWidth="1"/>
    <col min="6161" max="6393" width="9.1796875" style="9"/>
    <col min="6394" max="6394" width="7.453125" style="9" customWidth="1"/>
    <col min="6395" max="6395" width="29.453125" style="9" customWidth="1"/>
    <col min="6396" max="6396" width="17.81640625" style="9" customWidth="1"/>
    <col min="6397" max="6397" width="16.7265625" style="9" customWidth="1"/>
    <col min="6398" max="6401" width="10.7265625" style="9" customWidth="1"/>
    <col min="6402" max="6402" width="12.7265625" style="9" customWidth="1"/>
    <col min="6403" max="6403" width="12.1796875" style="9" customWidth="1"/>
    <col min="6404" max="6405" width="10.7265625" style="9" customWidth="1"/>
    <col min="6406" max="6406" width="12.7265625" style="9" customWidth="1"/>
    <col min="6407" max="6407" width="10.7265625" style="9" customWidth="1"/>
    <col min="6408" max="6408" width="13.54296875" style="9" customWidth="1"/>
    <col min="6409" max="6409" width="10.7265625" style="9" customWidth="1"/>
    <col min="6410" max="6410" width="12" style="9" customWidth="1"/>
    <col min="6411" max="6414" width="9.1796875" style="9"/>
    <col min="6415" max="6416" width="10.7265625" style="9" customWidth="1"/>
    <col min="6417" max="6649" width="9.1796875" style="9"/>
    <col min="6650" max="6650" width="7.453125" style="9" customWidth="1"/>
    <col min="6651" max="6651" width="29.453125" style="9" customWidth="1"/>
    <col min="6652" max="6652" width="17.81640625" style="9" customWidth="1"/>
    <col min="6653" max="6653" width="16.7265625" style="9" customWidth="1"/>
    <col min="6654" max="6657" width="10.7265625" style="9" customWidth="1"/>
    <col min="6658" max="6658" width="12.7265625" style="9" customWidth="1"/>
    <col min="6659" max="6659" width="12.1796875" style="9" customWidth="1"/>
    <col min="6660" max="6661" width="10.7265625" style="9" customWidth="1"/>
    <col min="6662" max="6662" width="12.7265625" style="9" customWidth="1"/>
    <col min="6663" max="6663" width="10.7265625" style="9" customWidth="1"/>
    <col min="6664" max="6664" width="13.54296875" style="9" customWidth="1"/>
    <col min="6665" max="6665" width="10.7265625" style="9" customWidth="1"/>
    <col min="6666" max="6666" width="12" style="9" customWidth="1"/>
    <col min="6667" max="6670" width="9.1796875" style="9"/>
    <col min="6671" max="6672" width="10.7265625" style="9" customWidth="1"/>
    <col min="6673" max="6905" width="9.1796875" style="9"/>
    <col min="6906" max="6906" width="7.453125" style="9" customWidth="1"/>
    <col min="6907" max="6907" width="29.453125" style="9" customWidth="1"/>
    <col min="6908" max="6908" width="17.81640625" style="9" customWidth="1"/>
    <col min="6909" max="6909" width="16.7265625" style="9" customWidth="1"/>
    <col min="6910" max="6913" width="10.7265625" style="9" customWidth="1"/>
    <col min="6914" max="6914" width="12.7265625" style="9" customWidth="1"/>
    <col min="6915" max="6915" width="12.1796875" style="9" customWidth="1"/>
    <col min="6916" max="6917" width="10.7265625" style="9" customWidth="1"/>
    <col min="6918" max="6918" width="12.7265625" style="9" customWidth="1"/>
    <col min="6919" max="6919" width="10.7265625" style="9" customWidth="1"/>
    <col min="6920" max="6920" width="13.54296875" style="9" customWidth="1"/>
    <col min="6921" max="6921" width="10.7265625" style="9" customWidth="1"/>
    <col min="6922" max="6922" width="12" style="9" customWidth="1"/>
    <col min="6923" max="6926" width="9.1796875" style="9"/>
    <col min="6927" max="6928" width="10.7265625" style="9" customWidth="1"/>
    <col min="6929" max="7161" width="9.1796875" style="9"/>
    <col min="7162" max="7162" width="7.453125" style="9" customWidth="1"/>
    <col min="7163" max="7163" width="29.453125" style="9" customWidth="1"/>
    <col min="7164" max="7164" width="17.81640625" style="9" customWidth="1"/>
    <col min="7165" max="7165" width="16.7265625" style="9" customWidth="1"/>
    <col min="7166" max="7169" width="10.7265625" style="9" customWidth="1"/>
    <col min="7170" max="7170" width="12.7265625" style="9" customWidth="1"/>
    <col min="7171" max="7171" width="12.1796875" style="9" customWidth="1"/>
    <col min="7172" max="7173" width="10.7265625" style="9" customWidth="1"/>
    <col min="7174" max="7174" width="12.7265625" style="9" customWidth="1"/>
    <col min="7175" max="7175" width="10.7265625" style="9" customWidth="1"/>
    <col min="7176" max="7176" width="13.54296875" style="9" customWidth="1"/>
    <col min="7177" max="7177" width="10.7265625" style="9" customWidth="1"/>
    <col min="7178" max="7178" width="12" style="9" customWidth="1"/>
    <col min="7179" max="7182" width="9.1796875" style="9"/>
    <col min="7183" max="7184" width="10.7265625" style="9" customWidth="1"/>
    <col min="7185" max="7417" width="9.1796875" style="9"/>
    <col min="7418" max="7418" width="7.453125" style="9" customWidth="1"/>
    <col min="7419" max="7419" width="29.453125" style="9" customWidth="1"/>
    <col min="7420" max="7420" width="17.81640625" style="9" customWidth="1"/>
    <col min="7421" max="7421" width="16.7265625" style="9" customWidth="1"/>
    <col min="7422" max="7425" width="10.7265625" style="9" customWidth="1"/>
    <col min="7426" max="7426" width="12.7265625" style="9" customWidth="1"/>
    <col min="7427" max="7427" width="12.1796875" style="9" customWidth="1"/>
    <col min="7428" max="7429" width="10.7265625" style="9" customWidth="1"/>
    <col min="7430" max="7430" width="12.7265625" style="9" customWidth="1"/>
    <col min="7431" max="7431" width="10.7265625" style="9" customWidth="1"/>
    <col min="7432" max="7432" width="13.54296875" style="9" customWidth="1"/>
    <col min="7433" max="7433" width="10.7265625" style="9" customWidth="1"/>
    <col min="7434" max="7434" width="12" style="9" customWidth="1"/>
    <col min="7435" max="7438" width="9.1796875" style="9"/>
    <col min="7439" max="7440" width="10.7265625" style="9" customWidth="1"/>
    <col min="7441" max="7673" width="9.1796875" style="9"/>
    <col min="7674" max="7674" width="7.453125" style="9" customWidth="1"/>
    <col min="7675" max="7675" width="29.453125" style="9" customWidth="1"/>
    <col min="7676" max="7676" width="17.81640625" style="9" customWidth="1"/>
    <col min="7677" max="7677" width="16.7265625" style="9" customWidth="1"/>
    <col min="7678" max="7681" width="10.7265625" style="9" customWidth="1"/>
    <col min="7682" max="7682" width="12.7265625" style="9" customWidth="1"/>
    <col min="7683" max="7683" width="12.1796875" style="9" customWidth="1"/>
    <col min="7684" max="7685" width="10.7265625" style="9" customWidth="1"/>
    <col min="7686" max="7686" width="12.7265625" style="9" customWidth="1"/>
    <col min="7687" max="7687" width="10.7265625" style="9" customWidth="1"/>
    <col min="7688" max="7688" width="13.54296875" style="9" customWidth="1"/>
    <col min="7689" max="7689" width="10.7265625" style="9" customWidth="1"/>
    <col min="7690" max="7690" width="12" style="9" customWidth="1"/>
    <col min="7691" max="7694" width="9.1796875" style="9"/>
    <col min="7695" max="7696" width="10.7265625" style="9" customWidth="1"/>
    <col min="7697" max="7929" width="9.1796875" style="9"/>
    <col min="7930" max="7930" width="7.453125" style="9" customWidth="1"/>
    <col min="7931" max="7931" width="29.453125" style="9" customWidth="1"/>
    <col min="7932" max="7932" width="17.81640625" style="9" customWidth="1"/>
    <col min="7933" max="7933" width="16.7265625" style="9" customWidth="1"/>
    <col min="7934" max="7937" width="10.7265625" style="9" customWidth="1"/>
    <col min="7938" max="7938" width="12.7265625" style="9" customWidth="1"/>
    <col min="7939" max="7939" width="12.1796875" style="9" customWidth="1"/>
    <col min="7940" max="7941" width="10.7265625" style="9" customWidth="1"/>
    <col min="7942" max="7942" width="12.7265625" style="9" customWidth="1"/>
    <col min="7943" max="7943" width="10.7265625" style="9" customWidth="1"/>
    <col min="7944" max="7944" width="13.54296875" style="9" customWidth="1"/>
    <col min="7945" max="7945" width="10.7265625" style="9" customWidth="1"/>
    <col min="7946" max="7946" width="12" style="9" customWidth="1"/>
    <col min="7947" max="7950" width="9.1796875" style="9"/>
    <col min="7951" max="7952" width="10.7265625" style="9" customWidth="1"/>
    <col min="7953" max="8185" width="9.1796875" style="9"/>
    <col min="8186" max="8186" width="7.453125" style="9" customWidth="1"/>
    <col min="8187" max="8187" width="29.453125" style="9" customWidth="1"/>
    <col min="8188" max="8188" width="17.81640625" style="9" customWidth="1"/>
    <col min="8189" max="8189" width="16.7265625" style="9" customWidth="1"/>
    <col min="8190" max="8193" width="10.7265625" style="9" customWidth="1"/>
    <col min="8194" max="8194" width="12.7265625" style="9" customWidth="1"/>
    <col min="8195" max="8195" width="12.1796875" style="9" customWidth="1"/>
    <col min="8196" max="8197" width="10.7265625" style="9" customWidth="1"/>
    <col min="8198" max="8198" width="12.7265625" style="9" customWidth="1"/>
    <col min="8199" max="8199" width="10.7265625" style="9" customWidth="1"/>
    <col min="8200" max="8200" width="13.54296875" style="9" customWidth="1"/>
    <col min="8201" max="8201" width="10.7265625" style="9" customWidth="1"/>
    <col min="8202" max="8202" width="12" style="9" customWidth="1"/>
    <col min="8203" max="8206" width="9.1796875" style="9"/>
    <col min="8207" max="8208" width="10.7265625" style="9" customWidth="1"/>
    <col min="8209" max="8441" width="9.1796875" style="9"/>
    <col min="8442" max="8442" width="7.453125" style="9" customWidth="1"/>
    <col min="8443" max="8443" width="29.453125" style="9" customWidth="1"/>
    <col min="8444" max="8444" width="17.81640625" style="9" customWidth="1"/>
    <col min="8445" max="8445" width="16.7265625" style="9" customWidth="1"/>
    <col min="8446" max="8449" width="10.7265625" style="9" customWidth="1"/>
    <col min="8450" max="8450" width="12.7265625" style="9" customWidth="1"/>
    <col min="8451" max="8451" width="12.1796875" style="9" customWidth="1"/>
    <col min="8452" max="8453" width="10.7265625" style="9" customWidth="1"/>
    <col min="8454" max="8454" width="12.7265625" style="9" customWidth="1"/>
    <col min="8455" max="8455" width="10.7265625" style="9" customWidth="1"/>
    <col min="8456" max="8456" width="13.54296875" style="9" customWidth="1"/>
    <col min="8457" max="8457" width="10.7265625" style="9" customWidth="1"/>
    <col min="8458" max="8458" width="12" style="9" customWidth="1"/>
    <col min="8459" max="8462" width="9.1796875" style="9"/>
    <col min="8463" max="8464" width="10.7265625" style="9" customWidth="1"/>
    <col min="8465" max="8697" width="9.1796875" style="9"/>
    <col min="8698" max="8698" width="7.453125" style="9" customWidth="1"/>
    <col min="8699" max="8699" width="29.453125" style="9" customWidth="1"/>
    <col min="8700" max="8700" width="17.81640625" style="9" customWidth="1"/>
    <col min="8701" max="8701" width="16.7265625" style="9" customWidth="1"/>
    <col min="8702" max="8705" width="10.7265625" style="9" customWidth="1"/>
    <col min="8706" max="8706" width="12.7265625" style="9" customWidth="1"/>
    <col min="8707" max="8707" width="12.1796875" style="9" customWidth="1"/>
    <col min="8708" max="8709" width="10.7265625" style="9" customWidth="1"/>
    <col min="8710" max="8710" width="12.7265625" style="9" customWidth="1"/>
    <col min="8711" max="8711" width="10.7265625" style="9" customWidth="1"/>
    <col min="8712" max="8712" width="13.54296875" style="9" customWidth="1"/>
    <col min="8713" max="8713" width="10.7265625" style="9" customWidth="1"/>
    <col min="8714" max="8714" width="12" style="9" customWidth="1"/>
    <col min="8715" max="8718" width="9.1796875" style="9"/>
    <col min="8719" max="8720" width="10.7265625" style="9" customWidth="1"/>
    <col min="8721" max="8953" width="9.1796875" style="9"/>
    <col min="8954" max="8954" width="7.453125" style="9" customWidth="1"/>
    <col min="8955" max="8955" width="29.453125" style="9" customWidth="1"/>
    <col min="8956" max="8956" width="17.81640625" style="9" customWidth="1"/>
    <col min="8957" max="8957" width="16.7265625" style="9" customWidth="1"/>
    <col min="8958" max="8961" width="10.7265625" style="9" customWidth="1"/>
    <col min="8962" max="8962" width="12.7265625" style="9" customWidth="1"/>
    <col min="8963" max="8963" width="12.1796875" style="9" customWidth="1"/>
    <col min="8964" max="8965" width="10.7265625" style="9" customWidth="1"/>
    <col min="8966" max="8966" width="12.7265625" style="9" customWidth="1"/>
    <col min="8967" max="8967" width="10.7265625" style="9" customWidth="1"/>
    <col min="8968" max="8968" width="13.54296875" style="9" customWidth="1"/>
    <col min="8969" max="8969" width="10.7265625" style="9" customWidth="1"/>
    <col min="8970" max="8970" width="12" style="9" customWidth="1"/>
    <col min="8971" max="8974" width="9.1796875" style="9"/>
    <col min="8975" max="8976" width="10.7265625" style="9" customWidth="1"/>
    <col min="8977" max="9209" width="9.1796875" style="9"/>
    <col min="9210" max="9210" width="7.453125" style="9" customWidth="1"/>
    <col min="9211" max="9211" width="29.453125" style="9" customWidth="1"/>
    <col min="9212" max="9212" width="17.81640625" style="9" customWidth="1"/>
    <col min="9213" max="9213" width="16.7265625" style="9" customWidth="1"/>
    <col min="9214" max="9217" width="10.7265625" style="9" customWidth="1"/>
    <col min="9218" max="9218" width="12.7265625" style="9" customWidth="1"/>
    <col min="9219" max="9219" width="12.1796875" style="9" customWidth="1"/>
    <col min="9220" max="9221" width="10.7265625" style="9" customWidth="1"/>
    <col min="9222" max="9222" width="12.7265625" style="9" customWidth="1"/>
    <col min="9223" max="9223" width="10.7265625" style="9" customWidth="1"/>
    <col min="9224" max="9224" width="13.54296875" style="9" customWidth="1"/>
    <col min="9225" max="9225" width="10.7265625" style="9" customWidth="1"/>
    <col min="9226" max="9226" width="12" style="9" customWidth="1"/>
    <col min="9227" max="9230" width="9.1796875" style="9"/>
    <col min="9231" max="9232" width="10.7265625" style="9" customWidth="1"/>
    <col min="9233" max="9465" width="9.1796875" style="9"/>
    <col min="9466" max="9466" width="7.453125" style="9" customWidth="1"/>
    <col min="9467" max="9467" width="29.453125" style="9" customWidth="1"/>
    <col min="9468" max="9468" width="17.81640625" style="9" customWidth="1"/>
    <col min="9469" max="9469" width="16.7265625" style="9" customWidth="1"/>
    <col min="9470" max="9473" width="10.7265625" style="9" customWidth="1"/>
    <col min="9474" max="9474" width="12.7265625" style="9" customWidth="1"/>
    <col min="9475" max="9475" width="12.1796875" style="9" customWidth="1"/>
    <col min="9476" max="9477" width="10.7265625" style="9" customWidth="1"/>
    <col min="9478" max="9478" width="12.7265625" style="9" customWidth="1"/>
    <col min="9479" max="9479" width="10.7265625" style="9" customWidth="1"/>
    <col min="9480" max="9480" width="13.54296875" style="9" customWidth="1"/>
    <col min="9481" max="9481" width="10.7265625" style="9" customWidth="1"/>
    <col min="9482" max="9482" width="12" style="9" customWidth="1"/>
    <col min="9483" max="9486" width="9.1796875" style="9"/>
    <col min="9487" max="9488" width="10.7265625" style="9" customWidth="1"/>
    <col min="9489" max="9721" width="9.1796875" style="9"/>
    <col min="9722" max="9722" width="7.453125" style="9" customWidth="1"/>
    <col min="9723" max="9723" width="29.453125" style="9" customWidth="1"/>
    <col min="9724" max="9724" width="17.81640625" style="9" customWidth="1"/>
    <col min="9725" max="9725" width="16.7265625" style="9" customWidth="1"/>
    <col min="9726" max="9729" width="10.7265625" style="9" customWidth="1"/>
    <col min="9730" max="9730" width="12.7265625" style="9" customWidth="1"/>
    <col min="9731" max="9731" width="12.1796875" style="9" customWidth="1"/>
    <col min="9732" max="9733" width="10.7265625" style="9" customWidth="1"/>
    <col min="9734" max="9734" width="12.7265625" style="9" customWidth="1"/>
    <col min="9735" max="9735" width="10.7265625" style="9" customWidth="1"/>
    <col min="9736" max="9736" width="13.54296875" style="9" customWidth="1"/>
    <col min="9737" max="9737" width="10.7265625" style="9" customWidth="1"/>
    <col min="9738" max="9738" width="12" style="9" customWidth="1"/>
    <col min="9739" max="9742" width="9.1796875" style="9"/>
    <col min="9743" max="9744" width="10.7265625" style="9" customWidth="1"/>
    <col min="9745" max="9977" width="9.1796875" style="9"/>
    <col min="9978" max="9978" width="7.453125" style="9" customWidth="1"/>
    <col min="9979" max="9979" width="29.453125" style="9" customWidth="1"/>
    <col min="9980" max="9980" width="17.81640625" style="9" customWidth="1"/>
    <col min="9981" max="9981" width="16.7265625" style="9" customWidth="1"/>
    <col min="9982" max="9985" width="10.7265625" style="9" customWidth="1"/>
    <col min="9986" max="9986" width="12.7265625" style="9" customWidth="1"/>
    <col min="9987" max="9987" width="12.1796875" style="9" customWidth="1"/>
    <col min="9988" max="9989" width="10.7265625" style="9" customWidth="1"/>
    <col min="9990" max="9990" width="12.7265625" style="9" customWidth="1"/>
    <col min="9991" max="9991" width="10.7265625" style="9" customWidth="1"/>
    <col min="9992" max="9992" width="13.54296875" style="9" customWidth="1"/>
    <col min="9993" max="9993" width="10.7265625" style="9" customWidth="1"/>
    <col min="9994" max="9994" width="12" style="9" customWidth="1"/>
    <col min="9995" max="9998" width="9.1796875" style="9"/>
    <col min="9999" max="10000" width="10.7265625" style="9" customWidth="1"/>
    <col min="10001" max="10233" width="9.1796875" style="9"/>
    <col min="10234" max="10234" width="7.453125" style="9" customWidth="1"/>
    <col min="10235" max="10235" width="29.453125" style="9" customWidth="1"/>
    <col min="10236" max="10236" width="17.81640625" style="9" customWidth="1"/>
    <col min="10237" max="10237" width="16.7265625" style="9" customWidth="1"/>
    <col min="10238" max="10241" width="10.7265625" style="9" customWidth="1"/>
    <col min="10242" max="10242" width="12.7265625" style="9" customWidth="1"/>
    <col min="10243" max="10243" width="12.1796875" style="9" customWidth="1"/>
    <col min="10244" max="10245" width="10.7265625" style="9" customWidth="1"/>
    <col min="10246" max="10246" width="12.7265625" style="9" customWidth="1"/>
    <col min="10247" max="10247" width="10.7265625" style="9" customWidth="1"/>
    <col min="10248" max="10248" width="13.54296875" style="9" customWidth="1"/>
    <col min="10249" max="10249" width="10.7265625" style="9" customWidth="1"/>
    <col min="10250" max="10250" width="12" style="9" customWidth="1"/>
    <col min="10251" max="10254" width="9.1796875" style="9"/>
    <col min="10255" max="10256" width="10.7265625" style="9" customWidth="1"/>
    <col min="10257" max="10489" width="9.1796875" style="9"/>
    <col min="10490" max="10490" width="7.453125" style="9" customWidth="1"/>
    <col min="10491" max="10491" width="29.453125" style="9" customWidth="1"/>
    <col min="10492" max="10492" width="17.81640625" style="9" customWidth="1"/>
    <col min="10493" max="10493" width="16.7265625" style="9" customWidth="1"/>
    <col min="10494" max="10497" width="10.7265625" style="9" customWidth="1"/>
    <col min="10498" max="10498" width="12.7265625" style="9" customWidth="1"/>
    <col min="10499" max="10499" width="12.1796875" style="9" customWidth="1"/>
    <col min="10500" max="10501" width="10.7265625" style="9" customWidth="1"/>
    <col min="10502" max="10502" width="12.7265625" style="9" customWidth="1"/>
    <col min="10503" max="10503" width="10.7265625" style="9" customWidth="1"/>
    <col min="10504" max="10504" width="13.54296875" style="9" customWidth="1"/>
    <col min="10505" max="10505" width="10.7265625" style="9" customWidth="1"/>
    <col min="10506" max="10506" width="12" style="9" customWidth="1"/>
    <col min="10507" max="10510" width="9.1796875" style="9"/>
    <col min="10511" max="10512" width="10.7265625" style="9" customWidth="1"/>
    <col min="10513" max="10745" width="9.1796875" style="9"/>
    <col min="10746" max="10746" width="7.453125" style="9" customWidth="1"/>
    <col min="10747" max="10747" width="29.453125" style="9" customWidth="1"/>
    <col min="10748" max="10748" width="17.81640625" style="9" customWidth="1"/>
    <col min="10749" max="10749" width="16.7265625" style="9" customWidth="1"/>
    <col min="10750" max="10753" width="10.7265625" style="9" customWidth="1"/>
    <col min="10754" max="10754" width="12.7265625" style="9" customWidth="1"/>
    <col min="10755" max="10755" width="12.1796875" style="9" customWidth="1"/>
    <col min="10756" max="10757" width="10.7265625" style="9" customWidth="1"/>
    <col min="10758" max="10758" width="12.7265625" style="9" customWidth="1"/>
    <col min="10759" max="10759" width="10.7265625" style="9" customWidth="1"/>
    <col min="10760" max="10760" width="13.54296875" style="9" customWidth="1"/>
    <col min="10761" max="10761" width="10.7265625" style="9" customWidth="1"/>
    <col min="10762" max="10762" width="12" style="9" customWidth="1"/>
    <col min="10763" max="10766" width="9.1796875" style="9"/>
    <col min="10767" max="10768" width="10.7265625" style="9" customWidth="1"/>
    <col min="10769" max="11001" width="9.1796875" style="9"/>
    <col min="11002" max="11002" width="7.453125" style="9" customWidth="1"/>
    <col min="11003" max="11003" width="29.453125" style="9" customWidth="1"/>
    <col min="11004" max="11004" width="17.81640625" style="9" customWidth="1"/>
    <col min="11005" max="11005" width="16.7265625" style="9" customWidth="1"/>
    <col min="11006" max="11009" width="10.7265625" style="9" customWidth="1"/>
    <col min="11010" max="11010" width="12.7265625" style="9" customWidth="1"/>
    <col min="11011" max="11011" width="12.1796875" style="9" customWidth="1"/>
    <col min="11012" max="11013" width="10.7265625" style="9" customWidth="1"/>
    <col min="11014" max="11014" width="12.7265625" style="9" customWidth="1"/>
    <col min="11015" max="11015" width="10.7265625" style="9" customWidth="1"/>
    <col min="11016" max="11016" width="13.54296875" style="9" customWidth="1"/>
    <col min="11017" max="11017" width="10.7265625" style="9" customWidth="1"/>
    <col min="11018" max="11018" width="12" style="9" customWidth="1"/>
    <col min="11019" max="11022" width="9.1796875" style="9"/>
    <col min="11023" max="11024" width="10.7265625" style="9" customWidth="1"/>
    <col min="11025" max="11257" width="9.1796875" style="9"/>
    <col min="11258" max="11258" width="7.453125" style="9" customWidth="1"/>
    <col min="11259" max="11259" width="29.453125" style="9" customWidth="1"/>
    <col min="11260" max="11260" width="17.81640625" style="9" customWidth="1"/>
    <col min="11261" max="11261" width="16.7265625" style="9" customWidth="1"/>
    <col min="11262" max="11265" width="10.7265625" style="9" customWidth="1"/>
    <col min="11266" max="11266" width="12.7265625" style="9" customWidth="1"/>
    <col min="11267" max="11267" width="12.1796875" style="9" customWidth="1"/>
    <col min="11268" max="11269" width="10.7265625" style="9" customWidth="1"/>
    <col min="11270" max="11270" width="12.7265625" style="9" customWidth="1"/>
    <col min="11271" max="11271" width="10.7265625" style="9" customWidth="1"/>
    <col min="11272" max="11272" width="13.54296875" style="9" customWidth="1"/>
    <col min="11273" max="11273" width="10.7265625" style="9" customWidth="1"/>
    <col min="11274" max="11274" width="12" style="9" customWidth="1"/>
    <col min="11275" max="11278" width="9.1796875" style="9"/>
    <col min="11279" max="11280" width="10.7265625" style="9" customWidth="1"/>
    <col min="11281" max="11513" width="9.1796875" style="9"/>
    <col min="11514" max="11514" width="7.453125" style="9" customWidth="1"/>
    <col min="11515" max="11515" width="29.453125" style="9" customWidth="1"/>
    <col min="11516" max="11516" width="17.81640625" style="9" customWidth="1"/>
    <col min="11517" max="11517" width="16.7265625" style="9" customWidth="1"/>
    <col min="11518" max="11521" width="10.7265625" style="9" customWidth="1"/>
    <col min="11522" max="11522" width="12.7265625" style="9" customWidth="1"/>
    <col min="11523" max="11523" width="12.1796875" style="9" customWidth="1"/>
    <col min="11524" max="11525" width="10.7265625" style="9" customWidth="1"/>
    <col min="11526" max="11526" width="12.7265625" style="9" customWidth="1"/>
    <col min="11527" max="11527" width="10.7265625" style="9" customWidth="1"/>
    <col min="11528" max="11528" width="13.54296875" style="9" customWidth="1"/>
    <col min="11529" max="11529" width="10.7265625" style="9" customWidth="1"/>
    <col min="11530" max="11530" width="12" style="9" customWidth="1"/>
    <col min="11531" max="11534" width="9.1796875" style="9"/>
    <col min="11535" max="11536" width="10.7265625" style="9" customWidth="1"/>
    <col min="11537" max="11769" width="9.1796875" style="9"/>
    <col min="11770" max="11770" width="7.453125" style="9" customWidth="1"/>
    <col min="11771" max="11771" width="29.453125" style="9" customWidth="1"/>
    <col min="11772" max="11772" width="17.81640625" style="9" customWidth="1"/>
    <col min="11773" max="11773" width="16.7265625" style="9" customWidth="1"/>
    <col min="11774" max="11777" width="10.7265625" style="9" customWidth="1"/>
    <col min="11778" max="11778" width="12.7265625" style="9" customWidth="1"/>
    <col min="11779" max="11779" width="12.1796875" style="9" customWidth="1"/>
    <col min="11780" max="11781" width="10.7265625" style="9" customWidth="1"/>
    <col min="11782" max="11782" width="12.7265625" style="9" customWidth="1"/>
    <col min="11783" max="11783" width="10.7265625" style="9" customWidth="1"/>
    <col min="11784" max="11784" width="13.54296875" style="9" customWidth="1"/>
    <col min="11785" max="11785" width="10.7265625" style="9" customWidth="1"/>
    <col min="11786" max="11786" width="12" style="9" customWidth="1"/>
    <col min="11787" max="11790" width="9.1796875" style="9"/>
    <col min="11791" max="11792" width="10.7265625" style="9" customWidth="1"/>
    <col min="11793" max="12025" width="9.1796875" style="9"/>
    <col min="12026" max="12026" width="7.453125" style="9" customWidth="1"/>
    <col min="12027" max="12027" width="29.453125" style="9" customWidth="1"/>
    <col min="12028" max="12028" width="17.81640625" style="9" customWidth="1"/>
    <col min="12029" max="12029" width="16.7265625" style="9" customWidth="1"/>
    <col min="12030" max="12033" width="10.7265625" style="9" customWidth="1"/>
    <col min="12034" max="12034" width="12.7265625" style="9" customWidth="1"/>
    <col min="12035" max="12035" width="12.1796875" style="9" customWidth="1"/>
    <col min="12036" max="12037" width="10.7265625" style="9" customWidth="1"/>
    <col min="12038" max="12038" width="12.7265625" style="9" customWidth="1"/>
    <col min="12039" max="12039" width="10.7265625" style="9" customWidth="1"/>
    <col min="12040" max="12040" width="13.54296875" style="9" customWidth="1"/>
    <col min="12041" max="12041" width="10.7265625" style="9" customWidth="1"/>
    <col min="12042" max="12042" width="12" style="9" customWidth="1"/>
    <col min="12043" max="12046" width="9.1796875" style="9"/>
    <col min="12047" max="12048" width="10.7265625" style="9" customWidth="1"/>
    <col min="12049" max="12281" width="9.1796875" style="9"/>
    <col min="12282" max="12282" width="7.453125" style="9" customWidth="1"/>
    <col min="12283" max="12283" width="29.453125" style="9" customWidth="1"/>
    <col min="12284" max="12284" width="17.81640625" style="9" customWidth="1"/>
    <col min="12285" max="12285" width="16.7265625" style="9" customWidth="1"/>
    <col min="12286" max="12289" width="10.7265625" style="9" customWidth="1"/>
    <col min="12290" max="12290" width="12.7265625" style="9" customWidth="1"/>
    <col min="12291" max="12291" width="12.1796875" style="9" customWidth="1"/>
    <col min="12292" max="12293" width="10.7265625" style="9" customWidth="1"/>
    <col min="12294" max="12294" width="12.7265625" style="9" customWidth="1"/>
    <col min="12295" max="12295" width="10.7265625" style="9" customWidth="1"/>
    <col min="12296" max="12296" width="13.54296875" style="9" customWidth="1"/>
    <col min="12297" max="12297" width="10.7265625" style="9" customWidth="1"/>
    <col min="12298" max="12298" width="12" style="9" customWidth="1"/>
    <col min="12299" max="12302" width="9.1796875" style="9"/>
    <col min="12303" max="12304" width="10.7265625" style="9" customWidth="1"/>
    <col min="12305" max="12537" width="9.1796875" style="9"/>
    <col min="12538" max="12538" width="7.453125" style="9" customWidth="1"/>
    <col min="12539" max="12539" width="29.453125" style="9" customWidth="1"/>
    <col min="12540" max="12540" width="17.81640625" style="9" customWidth="1"/>
    <col min="12541" max="12541" width="16.7265625" style="9" customWidth="1"/>
    <col min="12542" max="12545" width="10.7265625" style="9" customWidth="1"/>
    <col min="12546" max="12546" width="12.7265625" style="9" customWidth="1"/>
    <col min="12547" max="12547" width="12.1796875" style="9" customWidth="1"/>
    <col min="12548" max="12549" width="10.7265625" style="9" customWidth="1"/>
    <col min="12550" max="12550" width="12.7265625" style="9" customWidth="1"/>
    <col min="12551" max="12551" width="10.7265625" style="9" customWidth="1"/>
    <col min="12552" max="12552" width="13.54296875" style="9" customWidth="1"/>
    <col min="12553" max="12553" width="10.7265625" style="9" customWidth="1"/>
    <col min="12554" max="12554" width="12" style="9" customWidth="1"/>
    <col min="12555" max="12558" width="9.1796875" style="9"/>
    <col min="12559" max="12560" width="10.7265625" style="9" customWidth="1"/>
    <col min="12561" max="12793" width="9.1796875" style="9"/>
    <col min="12794" max="12794" width="7.453125" style="9" customWidth="1"/>
    <col min="12795" max="12795" width="29.453125" style="9" customWidth="1"/>
    <col min="12796" max="12796" width="17.81640625" style="9" customWidth="1"/>
    <col min="12797" max="12797" width="16.7265625" style="9" customWidth="1"/>
    <col min="12798" max="12801" width="10.7265625" style="9" customWidth="1"/>
    <col min="12802" max="12802" width="12.7265625" style="9" customWidth="1"/>
    <col min="12803" max="12803" width="12.1796875" style="9" customWidth="1"/>
    <col min="12804" max="12805" width="10.7265625" style="9" customWidth="1"/>
    <col min="12806" max="12806" width="12.7265625" style="9" customWidth="1"/>
    <col min="12807" max="12807" width="10.7265625" style="9" customWidth="1"/>
    <col min="12808" max="12808" width="13.54296875" style="9" customWidth="1"/>
    <col min="12809" max="12809" width="10.7265625" style="9" customWidth="1"/>
    <col min="12810" max="12810" width="12" style="9" customWidth="1"/>
    <col min="12811" max="12814" width="9.1796875" style="9"/>
    <col min="12815" max="12816" width="10.7265625" style="9" customWidth="1"/>
    <col min="12817" max="13049" width="9.1796875" style="9"/>
    <col min="13050" max="13050" width="7.453125" style="9" customWidth="1"/>
    <col min="13051" max="13051" width="29.453125" style="9" customWidth="1"/>
    <col min="13052" max="13052" width="17.81640625" style="9" customWidth="1"/>
    <col min="13053" max="13053" width="16.7265625" style="9" customWidth="1"/>
    <col min="13054" max="13057" width="10.7265625" style="9" customWidth="1"/>
    <col min="13058" max="13058" width="12.7265625" style="9" customWidth="1"/>
    <col min="13059" max="13059" width="12.1796875" style="9" customWidth="1"/>
    <col min="13060" max="13061" width="10.7265625" style="9" customWidth="1"/>
    <col min="13062" max="13062" width="12.7265625" style="9" customWidth="1"/>
    <col min="13063" max="13063" width="10.7265625" style="9" customWidth="1"/>
    <col min="13064" max="13064" width="13.54296875" style="9" customWidth="1"/>
    <col min="13065" max="13065" width="10.7265625" style="9" customWidth="1"/>
    <col min="13066" max="13066" width="12" style="9" customWidth="1"/>
    <col min="13067" max="13070" width="9.1796875" style="9"/>
    <col min="13071" max="13072" width="10.7265625" style="9" customWidth="1"/>
    <col min="13073" max="13305" width="9.1796875" style="9"/>
    <col min="13306" max="13306" width="7.453125" style="9" customWidth="1"/>
    <col min="13307" max="13307" width="29.453125" style="9" customWidth="1"/>
    <col min="13308" max="13308" width="17.81640625" style="9" customWidth="1"/>
    <col min="13309" max="13309" width="16.7265625" style="9" customWidth="1"/>
    <col min="13310" max="13313" width="10.7265625" style="9" customWidth="1"/>
    <col min="13314" max="13314" width="12.7265625" style="9" customWidth="1"/>
    <col min="13315" max="13315" width="12.1796875" style="9" customWidth="1"/>
    <col min="13316" max="13317" width="10.7265625" style="9" customWidth="1"/>
    <col min="13318" max="13318" width="12.7265625" style="9" customWidth="1"/>
    <col min="13319" max="13319" width="10.7265625" style="9" customWidth="1"/>
    <col min="13320" max="13320" width="13.54296875" style="9" customWidth="1"/>
    <col min="13321" max="13321" width="10.7265625" style="9" customWidth="1"/>
    <col min="13322" max="13322" width="12" style="9" customWidth="1"/>
    <col min="13323" max="13326" width="9.1796875" style="9"/>
    <col min="13327" max="13328" width="10.7265625" style="9" customWidth="1"/>
    <col min="13329" max="13561" width="9.1796875" style="9"/>
    <col min="13562" max="13562" width="7.453125" style="9" customWidth="1"/>
    <col min="13563" max="13563" width="29.453125" style="9" customWidth="1"/>
    <col min="13564" max="13564" width="17.81640625" style="9" customWidth="1"/>
    <col min="13565" max="13565" width="16.7265625" style="9" customWidth="1"/>
    <col min="13566" max="13569" width="10.7265625" style="9" customWidth="1"/>
    <col min="13570" max="13570" width="12.7265625" style="9" customWidth="1"/>
    <col min="13571" max="13571" width="12.1796875" style="9" customWidth="1"/>
    <col min="13572" max="13573" width="10.7265625" style="9" customWidth="1"/>
    <col min="13574" max="13574" width="12.7265625" style="9" customWidth="1"/>
    <col min="13575" max="13575" width="10.7265625" style="9" customWidth="1"/>
    <col min="13576" max="13576" width="13.54296875" style="9" customWidth="1"/>
    <col min="13577" max="13577" width="10.7265625" style="9" customWidth="1"/>
    <col min="13578" max="13578" width="12" style="9" customWidth="1"/>
    <col min="13579" max="13582" width="9.1796875" style="9"/>
    <col min="13583" max="13584" width="10.7265625" style="9" customWidth="1"/>
    <col min="13585" max="13817" width="9.1796875" style="9"/>
    <col min="13818" max="13818" width="7.453125" style="9" customWidth="1"/>
    <col min="13819" max="13819" width="29.453125" style="9" customWidth="1"/>
    <col min="13820" max="13820" width="17.81640625" style="9" customWidth="1"/>
    <col min="13821" max="13821" width="16.7265625" style="9" customWidth="1"/>
    <col min="13822" max="13825" width="10.7265625" style="9" customWidth="1"/>
    <col min="13826" max="13826" width="12.7265625" style="9" customWidth="1"/>
    <col min="13827" max="13827" width="12.1796875" style="9" customWidth="1"/>
    <col min="13828" max="13829" width="10.7265625" style="9" customWidth="1"/>
    <col min="13830" max="13830" width="12.7265625" style="9" customWidth="1"/>
    <col min="13831" max="13831" width="10.7265625" style="9" customWidth="1"/>
    <col min="13832" max="13832" width="13.54296875" style="9" customWidth="1"/>
    <col min="13833" max="13833" width="10.7265625" style="9" customWidth="1"/>
    <col min="13834" max="13834" width="12" style="9" customWidth="1"/>
    <col min="13835" max="13838" width="9.1796875" style="9"/>
    <col min="13839" max="13840" width="10.7265625" style="9" customWidth="1"/>
    <col min="13841" max="14073" width="9.1796875" style="9"/>
    <col min="14074" max="14074" width="7.453125" style="9" customWidth="1"/>
    <col min="14075" max="14075" width="29.453125" style="9" customWidth="1"/>
    <col min="14076" max="14076" width="17.81640625" style="9" customWidth="1"/>
    <col min="14077" max="14077" width="16.7265625" style="9" customWidth="1"/>
    <col min="14078" max="14081" width="10.7265625" style="9" customWidth="1"/>
    <col min="14082" max="14082" width="12.7265625" style="9" customWidth="1"/>
    <col min="14083" max="14083" width="12.1796875" style="9" customWidth="1"/>
    <col min="14084" max="14085" width="10.7265625" style="9" customWidth="1"/>
    <col min="14086" max="14086" width="12.7265625" style="9" customWidth="1"/>
    <col min="14087" max="14087" width="10.7265625" style="9" customWidth="1"/>
    <col min="14088" max="14088" width="13.54296875" style="9" customWidth="1"/>
    <col min="14089" max="14089" width="10.7265625" style="9" customWidth="1"/>
    <col min="14090" max="14090" width="12" style="9" customWidth="1"/>
    <col min="14091" max="14094" width="9.1796875" style="9"/>
    <col min="14095" max="14096" width="10.7265625" style="9" customWidth="1"/>
    <col min="14097" max="14329" width="9.1796875" style="9"/>
    <col min="14330" max="14330" width="7.453125" style="9" customWidth="1"/>
    <col min="14331" max="14331" width="29.453125" style="9" customWidth="1"/>
    <col min="14332" max="14332" width="17.81640625" style="9" customWidth="1"/>
    <col min="14333" max="14333" width="16.7265625" style="9" customWidth="1"/>
    <col min="14334" max="14337" width="10.7265625" style="9" customWidth="1"/>
    <col min="14338" max="14338" width="12.7265625" style="9" customWidth="1"/>
    <col min="14339" max="14339" width="12.1796875" style="9" customWidth="1"/>
    <col min="14340" max="14341" width="10.7265625" style="9" customWidth="1"/>
    <col min="14342" max="14342" width="12.7265625" style="9" customWidth="1"/>
    <col min="14343" max="14343" width="10.7265625" style="9" customWidth="1"/>
    <col min="14344" max="14344" width="13.54296875" style="9" customWidth="1"/>
    <col min="14345" max="14345" width="10.7265625" style="9" customWidth="1"/>
    <col min="14346" max="14346" width="12" style="9" customWidth="1"/>
    <col min="14347" max="14350" width="9.1796875" style="9"/>
    <col min="14351" max="14352" width="10.7265625" style="9" customWidth="1"/>
    <col min="14353" max="14585" width="9.1796875" style="9"/>
    <col min="14586" max="14586" width="7.453125" style="9" customWidth="1"/>
    <col min="14587" max="14587" width="29.453125" style="9" customWidth="1"/>
    <col min="14588" max="14588" width="17.81640625" style="9" customWidth="1"/>
    <col min="14589" max="14589" width="16.7265625" style="9" customWidth="1"/>
    <col min="14590" max="14593" width="10.7265625" style="9" customWidth="1"/>
    <col min="14594" max="14594" width="12.7265625" style="9" customWidth="1"/>
    <col min="14595" max="14595" width="12.1796875" style="9" customWidth="1"/>
    <col min="14596" max="14597" width="10.7265625" style="9" customWidth="1"/>
    <col min="14598" max="14598" width="12.7265625" style="9" customWidth="1"/>
    <col min="14599" max="14599" width="10.7265625" style="9" customWidth="1"/>
    <col min="14600" max="14600" width="13.54296875" style="9" customWidth="1"/>
    <col min="14601" max="14601" width="10.7265625" style="9" customWidth="1"/>
    <col min="14602" max="14602" width="12" style="9" customWidth="1"/>
    <col min="14603" max="14606" width="9.1796875" style="9"/>
    <col min="14607" max="14608" width="10.7265625" style="9" customWidth="1"/>
    <col min="14609" max="14841" width="9.1796875" style="9"/>
    <col min="14842" max="14842" width="7.453125" style="9" customWidth="1"/>
    <col min="14843" max="14843" width="29.453125" style="9" customWidth="1"/>
    <col min="14844" max="14844" width="17.81640625" style="9" customWidth="1"/>
    <col min="14845" max="14845" width="16.7265625" style="9" customWidth="1"/>
    <col min="14846" max="14849" width="10.7265625" style="9" customWidth="1"/>
    <col min="14850" max="14850" width="12.7265625" style="9" customWidth="1"/>
    <col min="14851" max="14851" width="12.1796875" style="9" customWidth="1"/>
    <col min="14852" max="14853" width="10.7265625" style="9" customWidth="1"/>
    <col min="14854" max="14854" width="12.7265625" style="9" customWidth="1"/>
    <col min="14855" max="14855" width="10.7265625" style="9" customWidth="1"/>
    <col min="14856" max="14856" width="13.54296875" style="9" customWidth="1"/>
    <col min="14857" max="14857" width="10.7265625" style="9" customWidth="1"/>
    <col min="14858" max="14858" width="12" style="9" customWidth="1"/>
    <col min="14859" max="14862" width="9.1796875" style="9"/>
    <col min="14863" max="14864" width="10.7265625" style="9" customWidth="1"/>
    <col min="14865" max="15097" width="9.1796875" style="9"/>
    <col min="15098" max="15098" width="7.453125" style="9" customWidth="1"/>
    <col min="15099" max="15099" width="29.453125" style="9" customWidth="1"/>
    <col min="15100" max="15100" width="17.81640625" style="9" customWidth="1"/>
    <col min="15101" max="15101" width="16.7265625" style="9" customWidth="1"/>
    <col min="15102" max="15105" width="10.7265625" style="9" customWidth="1"/>
    <col min="15106" max="15106" width="12.7265625" style="9" customWidth="1"/>
    <col min="15107" max="15107" width="12.1796875" style="9" customWidth="1"/>
    <col min="15108" max="15109" width="10.7265625" style="9" customWidth="1"/>
    <col min="15110" max="15110" width="12.7265625" style="9" customWidth="1"/>
    <col min="15111" max="15111" width="10.7265625" style="9" customWidth="1"/>
    <col min="15112" max="15112" width="13.54296875" style="9" customWidth="1"/>
    <col min="15113" max="15113" width="10.7265625" style="9" customWidth="1"/>
    <col min="15114" max="15114" width="12" style="9" customWidth="1"/>
    <col min="15115" max="15118" width="9.1796875" style="9"/>
    <col min="15119" max="15120" width="10.7265625" style="9" customWidth="1"/>
    <col min="15121" max="15353" width="9.1796875" style="9"/>
    <col min="15354" max="15354" width="7.453125" style="9" customWidth="1"/>
    <col min="15355" max="15355" width="29.453125" style="9" customWidth="1"/>
    <col min="15356" max="15356" width="17.81640625" style="9" customWidth="1"/>
    <col min="15357" max="15357" width="16.7265625" style="9" customWidth="1"/>
    <col min="15358" max="15361" width="10.7265625" style="9" customWidth="1"/>
    <col min="15362" max="15362" width="12.7265625" style="9" customWidth="1"/>
    <col min="15363" max="15363" width="12.1796875" style="9" customWidth="1"/>
    <col min="15364" max="15365" width="10.7265625" style="9" customWidth="1"/>
    <col min="15366" max="15366" width="12.7265625" style="9" customWidth="1"/>
    <col min="15367" max="15367" width="10.7265625" style="9" customWidth="1"/>
    <col min="15368" max="15368" width="13.54296875" style="9" customWidth="1"/>
    <col min="15369" max="15369" width="10.7265625" style="9" customWidth="1"/>
    <col min="15370" max="15370" width="12" style="9" customWidth="1"/>
    <col min="15371" max="15374" width="9.1796875" style="9"/>
    <col min="15375" max="15376" width="10.7265625" style="9" customWidth="1"/>
    <col min="15377" max="15609" width="9.1796875" style="9"/>
    <col min="15610" max="15610" width="7.453125" style="9" customWidth="1"/>
    <col min="15611" max="15611" width="29.453125" style="9" customWidth="1"/>
    <col min="15612" max="15612" width="17.81640625" style="9" customWidth="1"/>
    <col min="15613" max="15613" width="16.7265625" style="9" customWidth="1"/>
    <col min="15614" max="15617" width="10.7265625" style="9" customWidth="1"/>
    <col min="15618" max="15618" width="12.7265625" style="9" customWidth="1"/>
    <col min="15619" max="15619" width="12.1796875" style="9" customWidth="1"/>
    <col min="15620" max="15621" width="10.7265625" style="9" customWidth="1"/>
    <col min="15622" max="15622" width="12.7265625" style="9" customWidth="1"/>
    <col min="15623" max="15623" width="10.7265625" style="9" customWidth="1"/>
    <col min="15624" max="15624" width="13.54296875" style="9" customWidth="1"/>
    <col min="15625" max="15625" width="10.7265625" style="9" customWidth="1"/>
    <col min="15626" max="15626" width="12" style="9" customWidth="1"/>
    <col min="15627" max="15630" width="9.1796875" style="9"/>
    <col min="15631" max="15632" width="10.7265625" style="9" customWidth="1"/>
    <col min="15633" max="15865" width="9.1796875" style="9"/>
    <col min="15866" max="15866" width="7.453125" style="9" customWidth="1"/>
    <col min="15867" max="15867" width="29.453125" style="9" customWidth="1"/>
    <col min="15868" max="15868" width="17.81640625" style="9" customWidth="1"/>
    <col min="15869" max="15869" width="16.7265625" style="9" customWidth="1"/>
    <col min="15870" max="15873" width="10.7265625" style="9" customWidth="1"/>
    <col min="15874" max="15874" width="12.7265625" style="9" customWidth="1"/>
    <col min="15875" max="15875" width="12.1796875" style="9" customWidth="1"/>
    <col min="15876" max="15877" width="10.7265625" style="9" customWidth="1"/>
    <col min="15878" max="15878" width="12.7265625" style="9" customWidth="1"/>
    <col min="15879" max="15879" width="10.7265625" style="9" customWidth="1"/>
    <col min="15880" max="15880" width="13.54296875" style="9" customWidth="1"/>
    <col min="15881" max="15881" width="10.7265625" style="9" customWidth="1"/>
    <col min="15882" max="15882" width="12" style="9" customWidth="1"/>
    <col min="15883" max="15886" width="9.1796875" style="9"/>
    <col min="15887" max="15888" width="10.7265625" style="9" customWidth="1"/>
    <col min="15889" max="16121" width="9.1796875" style="9"/>
    <col min="16122" max="16122" width="7.453125" style="9" customWidth="1"/>
    <col min="16123" max="16123" width="29.453125" style="9" customWidth="1"/>
    <col min="16124" max="16124" width="17.81640625" style="9" customWidth="1"/>
    <col min="16125" max="16125" width="16.7265625" style="9" customWidth="1"/>
    <col min="16126" max="16129" width="10.7265625" style="9" customWidth="1"/>
    <col min="16130" max="16130" width="12.7265625" style="9" customWidth="1"/>
    <col min="16131" max="16131" width="12.1796875" style="9" customWidth="1"/>
    <col min="16132" max="16133" width="10.7265625" style="9" customWidth="1"/>
    <col min="16134" max="16134" width="12.7265625" style="9" customWidth="1"/>
    <col min="16135" max="16135" width="10.7265625" style="9" customWidth="1"/>
    <col min="16136" max="16136" width="13.54296875" style="9" customWidth="1"/>
    <col min="16137" max="16137" width="10.7265625" style="9" customWidth="1"/>
    <col min="16138" max="16138" width="12" style="9" customWidth="1"/>
    <col min="16139" max="16142" width="9.1796875" style="9"/>
    <col min="16143" max="16144" width="10.7265625" style="9" customWidth="1"/>
    <col min="16145" max="16384" width="9.1796875" style="9"/>
  </cols>
  <sheetData>
    <row r="1" spans="1:21" ht="20.5" thickBot="1" x14ac:dyDescent="0.4">
      <c r="E1" s="3"/>
      <c r="F1" s="4">
        <v>45870</v>
      </c>
      <c r="G1" s="5"/>
      <c r="H1" s="6"/>
      <c r="I1" s="7"/>
      <c r="J1" s="7"/>
      <c r="K1" s="8"/>
      <c r="L1" s="8"/>
      <c r="M1" s="8"/>
      <c r="N1" s="8"/>
      <c r="O1" s="8"/>
      <c r="P1" s="173"/>
      <c r="Q1" s="131"/>
      <c r="S1" s="133"/>
    </row>
    <row r="2" spans="1:21" s="18" customFormat="1" ht="25.5" customHeight="1" thickTop="1" thickBot="1" x14ac:dyDescent="0.4">
      <c r="A2" s="11"/>
      <c r="B2" s="174" t="s">
        <v>263</v>
      </c>
      <c r="C2" s="175" t="s">
        <v>264</v>
      </c>
      <c r="D2" s="12"/>
      <c r="E2" s="13" t="s">
        <v>0</v>
      </c>
      <c r="F2" s="14" t="s">
        <v>1</v>
      </c>
      <c r="G2" s="15" t="s">
        <v>2</v>
      </c>
      <c r="H2" s="14" t="s">
        <v>3</v>
      </c>
      <c r="I2" s="16" t="s">
        <v>265</v>
      </c>
      <c r="J2" s="16" t="s">
        <v>266</v>
      </c>
      <c r="K2" s="17" t="s">
        <v>267</v>
      </c>
      <c r="L2" s="17" t="s">
        <v>268</v>
      </c>
      <c r="M2" s="17"/>
      <c r="N2" s="16" t="s">
        <v>269</v>
      </c>
      <c r="O2" s="176" t="s">
        <v>270</v>
      </c>
      <c r="P2" s="177" t="s">
        <v>271</v>
      </c>
      <c r="Q2" s="178" t="s">
        <v>272</v>
      </c>
      <c r="R2" s="179" t="s">
        <v>273</v>
      </c>
      <c r="S2" s="14" t="s">
        <v>274</v>
      </c>
      <c r="U2" s="10"/>
    </row>
    <row r="3" spans="1:21" s="18" customFormat="1" ht="6" customHeight="1" thickTop="1" x14ac:dyDescent="0.35">
      <c r="A3" s="11"/>
      <c r="B3" s="180"/>
      <c r="C3" s="19"/>
      <c r="D3" s="20"/>
      <c r="E3" s="21"/>
      <c r="F3" s="22"/>
      <c r="G3" s="23"/>
      <c r="H3" s="22"/>
      <c r="I3" s="24"/>
      <c r="J3" s="24"/>
      <c r="K3" s="25"/>
      <c r="L3" s="25"/>
      <c r="M3" s="25"/>
      <c r="N3" s="24"/>
      <c r="O3" s="24"/>
      <c r="P3" s="181"/>
      <c r="Q3" s="182"/>
      <c r="R3" s="183"/>
      <c r="S3" s="22"/>
      <c r="U3" s="10"/>
    </row>
    <row r="4" spans="1:21" x14ac:dyDescent="0.35">
      <c r="A4" s="1">
        <v>1</v>
      </c>
      <c r="B4" s="184" t="s">
        <v>275</v>
      </c>
      <c r="C4" s="185" t="s">
        <v>276</v>
      </c>
      <c r="D4" s="26" t="s">
        <v>4</v>
      </c>
      <c r="E4" s="27" t="s">
        <v>5</v>
      </c>
      <c r="F4" s="28" t="s">
        <v>6</v>
      </c>
      <c r="G4" s="29">
        <v>9111045374085</v>
      </c>
      <c r="H4" s="30">
        <v>2323969</v>
      </c>
      <c r="I4" s="31">
        <v>6500</v>
      </c>
      <c r="J4" s="32">
        <v>8750</v>
      </c>
      <c r="K4" s="33"/>
      <c r="L4" s="33"/>
      <c r="M4" s="33"/>
      <c r="N4" s="34">
        <v>2500</v>
      </c>
      <c r="O4" s="33">
        <v>0</v>
      </c>
      <c r="P4" s="186">
        <f>I4+J4-L4-O4+M4</f>
        <v>15250</v>
      </c>
      <c r="Q4" s="134" t="s">
        <v>277</v>
      </c>
      <c r="R4" s="135"/>
      <c r="S4" s="28"/>
    </row>
    <row r="5" spans="1:21" x14ac:dyDescent="0.35">
      <c r="A5" s="1">
        <v>2</v>
      </c>
      <c r="B5" s="187" t="s">
        <v>278</v>
      </c>
      <c r="C5" s="150" t="s">
        <v>279</v>
      </c>
      <c r="D5" s="35" t="s">
        <v>7</v>
      </c>
      <c r="E5" s="36" t="s">
        <v>8</v>
      </c>
      <c r="F5" s="37" t="s">
        <v>9</v>
      </c>
      <c r="G5" s="38">
        <v>7004026418082</v>
      </c>
      <c r="H5" s="39">
        <v>1066576</v>
      </c>
      <c r="I5" s="40">
        <v>6500</v>
      </c>
      <c r="J5" s="40">
        <v>7750</v>
      </c>
      <c r="K5" s="41"/>
      <c r="L5" s="41"/>
      <c r="M5" s="41"/>
      <c r="N5" s="42">
        <v>2500</v>
      </c>
      <c r="O5" s="129">
        <v>0</v>
      </c>
      <c r="P5" s="129">
        <f t="shared" ref="P5:P35" si="0">I5+J5-L5-O5+M5</f>
        <v>14250</v>
      </c>
      <c r="Q5" s="136" t="s">
        <v>280</v>
      </c>
      <c r="R5" s="137"/>
      <c r="S5" s="37"/>
    </row>
    <row r="6" spans="1:21" x14ac:dyDescent="0.35">
      <c r="A6" s="1">
        <v>3</v>
      </c>
      <c r="B6" s="187" t="s">
        <v>281</v>
      </c>
      <c r="C6" s="150" t="s">
        <v>282</v>
      </c>
      <c r="D6" s="35" t="s">
        <v>10</v>
      </c>
      <c r="E6" s="36" t="s">
        <v>11</v>
      </c>
      <c r="F6" s="37" t="s">
        <v>12</v>
      </c>
      <c r="G6" s="38">
        <v>7410185829086</v>
      </c>
      <c r="H6" s="39">
        <v>843459</v>
      </c>
      <c r="I6" s="40">
        <v>6500</v>
      </c>
      <c r="J6" s="40">
        <v>8750</v>
      </c>
      <c r="K6" s="41"/>
      <c r="L6" s="41"/>
      <c r="M6" s="41"/>
      <c r="N6" s="42">
        <v>2500</v>
      </c>
      <c r="O6" s="129">
        <v>0</v>
      </c>
      <c r="P6" s="186">
        <f t="shared" si="0"/>
        <v>15250</v>
      </c>
      <c r="Q6" s="136" t="s">
        <v>280</v>
      </c>
      <c r="R6" s="137"/>
      <c r="S6" s="37"/>
    </row>
    <row r="7" spans="1:21" ht="26" hidden="1" x14ac:dyDescent="0.35">
      <c r="B7" s="187"/>
      <c r="C7" s="150"/>
      <c r="D7" s="35"/>
      <c r="E7" s="43">
        <v>5</v>
      </c>
      <c r="F7" s="44" t="s">
        <v>13</v>
      </c>
      <c r="G7" s="45">
        <v>6404046670087</v>
      </c>
      <c r="H7" s="46">
        <v>319084</v>
      </c>
      <c r="I7" s="47">
        <v>0</v>
      </c>
      <c r="J7" s="47">
        <v>0</v>
      </c>
      <c r="K7" s="48"/>
      <c r="L7" s="48"/>
      <c r="M7" s="48"/>
      <c r="N7" s="42">
        <f>+O7</f>
        <v>0</v>
      </c>
      <c r="O7" s="186"/>
      <c r="P7" s="186">
        <f t="shared" si="0"/>
        <v>0</v>
      </c>
      <c r="Q7" s="138" t="s">
        <v>283</v>
      </c>
      <c r="R7" s="137"/>
      <c r="S7" s="44" t="s">
        <v>284</v>
      </c>
    </row>
    <row r="8" spans="1:21" x14ac:dyDescent="0.35">
      <c r="A8" s="1">
        <v>4</v>
      </c>
      <c r="B8" s="187" t="s">
        <v>285</v>
      </c>
      <c r="C8" s="150" t="s">
        <v>286</v>
      </c>
      <c r="D8" s="35" t="s">
        <v>4</v>
      </c>
      <c r="E8" s="49" t="s">
        <v>14</v>
      </c>
      <c r="F8" s="50" t="s">
        <v>15</v>
      </c>
      <c r="G8" s="51">
        <v>6803185180081</v>
      </c>
      <c r="H8" s="52">
        <v>94105</v>
      </c>
      <c r="I8" s="53">
        <v>6500</v>
      </c>
      <c r="J8" s="53">
        <v>13500</v>
      </c>
      <c r="K8" s="54"/>
      <c r="L8" s="54"/>
      <c r="M8" s="54"/>
      <c r="N8" s="55">
        <v>0</v>
      </c>
      <c r="O8" s="56">
        <v>0</v>
      </c>
      <c r="P8" s="129">
        <f t="shared" si="0"/>
        <v>20000</v>
      </c>
      <c r="Q8" s="139" t="s">
        <v>287</v>
      </c>
      <c r="R8" s="137"/>
      <c r="S8" s="50"/>
    </row>
    <row r="9" spans="1:21" ht="46.5" customHeight="1" x14ac:dyDescent="0.35">
      <c r="A9" s="1">
        <v>5</v>
      </c>
      <c r="B9" s="187" t="s">
        <v>288</v>
      </c>
      <c r="C9" s="50" t="s">
        <v>289</v>
      </c>
      <c r="D9" s="57" t="s">
        <v>16</v>
      </c>
      <c r="E9" s="36" t="s">
        <v>17</v>
      </c>
      <c r="F9" s="37" t="s">
        <v>18</v>
      </c>
      <c r="G9" s="38">
        <v>6703036653080</v>
      </c>
      <c r="H9" s="39">
        <v>190277</v>
      </c>
      <c r="I9" s="40">
        <v>6500</v>
      </c>
      <c r="J9" s="40">
        <v>6750</v>
      </c>
      <c r="K9" s="41"/>
      <c r="L9" s="41"/>
      <c r="M9" s="41"/>
      <c r="N9" s="42">
        <v>2500</v>
      </c>
      <c r="O9" s="186">
        <v>0</v>
      </c>
      <c r="P9" s="186">
        <f t="shared" si="0"/>
        <v>13250</v>
      </c>
      <c r="Q9" s="136" t="s">
        <v>277</v>
      </c>
      <c r="R9" s="137"/>
      <c r="S9" s="37"/>
    </row>
    <row r="10" spans="1:21" x14ac:dyDescent="0.35">
      <c r="A10" s="1">
        <v>6</v>
      </c>
      <c r="B10" s="187" t="s">
        <v>290</v>
      </c>
      <c r="C10" s="150" t="s">
        <v>291</v>
      </c>
      <c r="D10" s="35" t="s">
        <v>19</v>
      </c>
      <c r="E10" s="36" t="s">
        <v>20</v>
      </c>
      <c r="F10" s="58" t="s">
        <v>21</v>
      </c>
      <c r="G10" s="38">
        <v>8305075290085</v>
      </c>
      <c r="H10" s="39">
        <v>2573008</v>
      </c>
      <c r="I10" s="40">
        <v>6500</v>
      </c>
      <c r="J10" s="40">
        <v>7250</v>
      </c>
      <c r="K10" s="41"/>
      <c r="L10" s="41"/>
      <c r="M10" s="41"/>
      <c r="N10" s="42">
        <v>2500</v>
      </c>
      <c r="O10" s="186">
        <v>0</v>
      </c>
      <c r="P10" s="186">
        <f t="shared" si="0"/>
        <v>13750</v>
      </c>
      <c r="Q10" s="136" t="s">
        <v>280</v>
      </c>
      <c r="R10" s="137"/>
      <c r="S10" s="37"/>
    </row>
    <row r="11" spans="1:21" s="62" customFormat="1" ht="26" hidden="1" x14ac:dyDescent="0.35">
      <c r="A11" s="1"/>
      <c r="B11" s="188"/>
      <c r="C11" s="59"/>
      <c r="D11" s="60"/>
      <c r="E11" s="43">
        <v>8</v>
      </c>
      <c r="F11" s="44" t="s">
        <v>22</v>
      </c>
      <c r="G11" s="45">
        <v>8212126921082</v>
      </c>
      <c r="H11" s="46">
        <v>2506665</v>
      </c>
      <c r="I11" s="47">
        <v>0</v>
      </c>
      <c r="J11" s="47">
        <v>0</v>
      </c>
      <c r="K11" s="48"/>
      <c r="L11" s="48"/>
      <c r="M11" s="48"/>
      <c r="N11" s="61">
        <v>0</v>
      </c>
      <c r="O11" s="189"/>
      <c r="P11" s="186">
        <f t="shared" si="0"/>
        <v>0</v>
      </c>
      <c r="Q11" s="138" t="s">
        <v>292</v>
      </c>
      <c r="R11" s="137"/>
      <c r="S11" s="44" t="s">
        <v>293</v>
      </c>
      <c r="U11" s="63"/>
    </row>
    <row r="12" spans="1:21" x14ac:dyDescent="0.35">
      <c r="A12" s="1">
        <v>7</v>
      </c>
      <c r="B12" s="187" t="s">
        <v>294</v>
      </c>
      <c r="C12" s="150" t="s">
        <v>295</v>
      </c>
      <c r="D12" s="35" t="s">
        <v>23</v>
      </c>
      <c r="E12" s="36" t="s">
        <v>24</v>
      </c>
      <c r="F12" s="37" t="s">
        <v>25</v>
      </c>
      <c r="G12" s="38">
        <v>8404025648086</v>
      </c>
      <c r="H12" s="39">
        <v>1143870</v>
      </c>
      <c r="I12" s="40">
        <v>6500</v>
      </c>
      <c r="J12" s="40">
        <v>6250</v>
      </c>
      <c r="K12" s="41"/>
      <c r="L12" s="41"/>
      <c r="M12" s="41"/>
      <c r="N12" s="42">
        <v>2500</v>
      </c>
      <c r="O12" s="129">
        <v>0</v>
      </c>
      <c r="P12" s="129">
        <f t="shared" si="0"/>
        <v>12750</v>
      </c>
      <c r="Q12" s="136" t="s">
        <v>296</v>
      </c>
      <c r="R12" s="137"/>
      <c r="S12" s="37"/>
    </row>
    <row r="13" spans="1:21" x14ac:dyDescent="0.35">
      <c r="A13" s="1">
        <v>8</v>
      </c>
      <c r="B13" s="187" t="s">
        <v>297</v>
      </c>
      <c r="C13" s="150" t="s">
        <v>298</v>
      </c>
      <c r="D13" s="35" t="s">
        <v>10</v>
      </c>
      <c r="E13" s="36" t="s">
        <v>26</v>
      </c>
      <c r="F13" s="37" t="s">
        <v>27</v>
      </c>
      <c r="G13" s="38">
        <v>6506285751087</v>
      </c>
      <c r="H13" s="39">
        <v>900086</v>
      </c>
      <c r="I13" s="40">
        <v>6500</v>
      </c>
      <c r="J13" s="40">
        <v>6750</v>
      </c>
      <c r="K13" s="41"/>
      <c r="L13" s="41"/>
      <c r="M13" s="41"/>
      <c r="N13" s="42">
        <v>2500</v>
      </c>
      <c r="O13" s="129">
        <v>0</v>
      </c>
      <c r="P13" s="129">
        <f t="shared" si="0"/>
        <v>13250</v>
      </c>
      <c r="Q13" s="136" t="s">
        <v>299</v>
      </c>
      <c r="R13" s="137"/>
      <c r="S13" s="37"/>
    </row>
    <row r="14" spans="1:21" ht="26" hidden="1" x14ac:dyDescent="0.35">
      <c r="B14" s="187"/>
      <c r="C14" s="150"/>
      <c r="D14" s="35"/>
      <c r="E14" s="43">
        <v>11</v>
      </c>
      <c r="F14" s="44" t="s">
        <v>28</v>
      </c>
      <c r="G14" s="45">
        <v>6502026541085</v>
      </c>
      <c r="H14" s="46">
        <v>319086</v>
      </c>
      <c r="I14" s="47">
        <v>0</v>
      </c>
      <c r="J14" s="47">
        <v>0</v>
      </c>
      <c r="K14" s="48"/>
      <c r="L14" s="48"/>
      <c r="M14" s="48"/>
      <c r="N14" s="42">
        <f>+O14</f>
        <v>0</v>
      </c>
      <c r="O14" s="186"/>
      <c r="P14" s="186">
        <f t="shared" si="0"/>
        <v>0</v>
      </c>
      <c r="Q14" s="138" t="s">
        <v>300</v>
      </c>
      <c r="R14" s="137"/>
      <c r="S14" s="44" t="s">
        <v>301</v>
      </c>
    </row>
    <row r="15" spans="1:21" x14ac:dyDescent="0.35">
      <c r="A15" s="1">
        <v>9</v>
      </c>
      <c r="B15" s="187" t="s">
        <v>302</v>
      </c>
      <c r="C15" s="150" t="s">
        <v>303</v>
      </c>
      <c r="D15" s="35" t="s">
        <v>29</v>
      </c>
      <c r="E15" s="36" t="s">
        <v>30</v>
      </c>
      <c r="F15" s="37" t="s">
        <v>31</v>
      </c>
      <c r="G15" s="38">
        <v>8810245844083</v>
      </c>
      <c r="H15" s="39">
        <v>1564162</v>
      </c>
      <c r="I15" s="40">
        <v>6500</v>
      </c>
      <c r="J15" s="40">
        <v>5750</v>
      </c>
      <c r="K15" s="41"/>
      <c r="L15" s="41"/>
      <c r="M15" s="41"/>
      <c r="N15" s="42">
        <v>2500</v>
      </c>
      <c r="O15" s="186">
        <v>0</v>
      </c>
      <c r="P15" s="186">
        <f t="shared" si="0"/>
        <v>12250</v>
      </c>
      <c r="Q15" s="136" t="s">
        <v>304</v>
      </c>
      <c r="R15" s="137"/>
      <c r="S15" s="37"/>
    </row>
    <row r="16" spans="1:21" ht="26" hidden="1" x14ac:dyDescent="0.35">
      <c r="B16" s="187"/>
      <c r="C16" s="150"/>
      <c r="D16" s="35"/>
      <c r="E16" s="36">
        <v>14</v>
      </c>
      <c r="F16" s="44" t="s">
        <v>32</v>
      </c>
      <c r="G16" s="45">
        <v>6501275065085</v>
      </c>
      <c r="H16" s="46">
        <v>2732240</v>
      </c>
      <c r="I16" s="47">
        <v>0</v>
      </c>
      <c r="J16" s="47">
        <v>0</v>
      </c>
      <c r="K16" s="48"/>
      <c r="L16" s="48"/>
      <c r="M16" s="48"/>
      <c r="N16" s="42">
        <f>+O16</f>
        <v>0</v>
      </c>
      <c r="O16" s="186"/>
      <c r="P16" s="186">
        <f t="shared" si="0"/>
        <v>0</v>
      </c>
      <c r="Q16" s="138" t="s">
        <v>305</v>
      </c>
      <c r="R16" s="137"/>
      <c r="S16" s="44" t="s">
        <v>306</v>
      </c>
    </row>
    <row r="17" spans="1:21" x14ac:dyDescent="0.35">
      <c r="A17" s="1">
        <v>10</v>
      </c>
      <c r="B17" s="187" t="s">
        <v>307</v>
      </c>
      <c r="C17" s="150" t="s">
        <v>308</v>
      </c>
      <c r="D17" s="35" t="s">
        <v>33</v>
      </c>
      <c r="E17" s="49" t="s">
        <v>34</v>
      </c>
      <c r="F17" s="50" t="s">
        <v>35</v>
      </c>
      <c r="G17" s="51">
        <v>9008055211084</v>
      </c>
      <c r="H17" s="52">
        <v>2003164</v>
      </c>
      <c r="I17" s="53">
        <v>6500</v>
      </c>
      <c r="J17" s="53">
        <v>5750</v>
      </c>
      <c r="K17" s="54"/>
      <c r="L17" s="54"/>
      <c r="M17" s="54"/>
      <c r="N17" s="55">
        <v>2500</v>
      </c>
      <c r="O17" s="56">
        <v>0</v>
      </c>
      <c r="P17" s="129">
        <f t="shared" si="0"/>
        <v>12250</v>
      </c>
      <c r="Q17" s="139" t="s">
        <v>309</v>
      </c>
      <c r="R17" s="137"/>
      <c r="S17" s="50"/>
    </row>
    <row r="18" spans="1:21" x14ac:dyDescent="0.35">
      <c r="A18" s="1">
        <v>11</v>
      </c>
      <c r="B18" s="187" t="s">
        <v>310</v>
      </c>
      <c r="C18" s="150" t="s">
        <v>311</v>
      </c>
      <c r="D18" s="35" t="s">
        <v>10</v>
      </c>
      <c r="E18" s="36" t="s">
        <v>36</v>
      </c>
      <c r="F18" s="37" t="s">
        <v>37</v>
      </c>
      <c r="G18" s="38">
        <v>6504106181089</v>
      </c>
      <c r="H18" s="39">
        <v>2071594</v>
      </c>
      <c r="I18" s="40">
        <v>6500</v>
      </c>
      <c r="J18" s="40">
        <v>6750</v>
      </c>
      <c r="K18" s="41"/>
      <c r="L18" s="41"/>
      <c r="M18" s="41"/>
      <c r="N18" s="42">
        <v>2500</v>
      </c>
      <c r="O18" s="129">
        <v>0</v>
      </c>
      <c r="P18" s="186">
        <f t="shared" si="0"/>
        <v>13250</v>
      </c>
      <c r="Q18" s="136" t="s">
        <v>312</v>
      </c>
      <c r="R18" s="137"/>
      <c r="S18" s="37"/>
    </row>
    <row r="19" spans="1:21" ht="26" hidden="1" x14ac:dyDescent="0.35">
      <c r="B19" s="187"/>
      <c r="C19" s="150"/>
      <c r="D19" s="35"/>
      <c r="E19" s="64">
        <v>17</v>
      </c>
      <c r="F19" s="37" t="s">
        <v>38</v>
      </c>
      <c r="G19" s="45">
        <v>5803205926084</v>
      </c>
      <c r="H19" s="46">
        <v>190351</v>
      </c>
      <c r="I19" s="47">
        <v>0</v>
      </c>
      <c r="J19" s="47">
        <v>0</v>
      </c>
      <c r="K19" s="48"/>
      <c r="L19" s="48"/>
      <c r="M19" s="48"/>
      <c r="N19" s="42">
        <v>0</v>
      </c>
      <c r="O19" s="186"/>
      <c r="P19" s="186">
        <f t="shared" si="0"/>
        <v>0</v>
      </c>
      <c r="Q19" s="138" t="s">
        <v>313</v>
      </c>
      <c r="R19" s="137"/>
      <c r="S19" s="141" t="s">
        <v>314</v>
      </c>
    </row>
    <row r="20" spans="1:21" x14ac:dyDescent="0.35">
      <c r="A20" s="1">
        <v>12</v>
      </c>
      <c r="B20" s="187" t="s">
        <v>315</v>
      </c>
      <c r="C20" s="150" t="s">
        <v>316</v>
      </c>
      <c r="D20" s="35" t="s">
        <v>39</v>
      </c>
      <c r="E20" s="36" t="s">
        <v>40</v>
      </c>
      <c r="F20" s="37" t="s">
        <v>41</v>
      </c>
      <c r="G20" s="38">
        <v>5109165642087</v>
      </c>
      <c r="H20" s="39">
        <v>179013</v>
      </c>
      <c r="I20" s="40">
        <v>6500</v>
      </c>
      <c r="J20" s="40">
        <v>6750</v>
      </c>
      <c r="K20" s="41"/>
      <c r="L20" s="41"/>
      <c r="M20" s="41"/>
      <c r="N20" s="42">
        <v>2500</v>
      </c>
      <c r="O20" s="186">
        <v>0</v>
      </c>
      <c r="P20" s="186">
        <f t="shared" si="0"/>
        <v>13250</v>
      </c>
      <c r="Q20" s="136" t="s">
        <v>317</v>
      </c>
      <c r="R20" s="137"/>
      <c r="S20" s="37"/>
    </row>
    <row r="21" spans="1:21" x14ac:dyDescent="0.35">
      <c r="A21" s="1">
        <v>13</v>
      </c>
      <c r="B21" s="187" t="s">
        <v>318</v>
      </c>
      <c r="C21" s="150" t="s">
        <v>319</v>
      </c>
      <c r="D21" s="35" t="s">
        <v>42</v>
      </c>
      <c r="E21" s="36" t="s">
        <v>43</v>
      </c>
      <c r="F21" s="37" t="s">
        <v>44</v>
      </c>
      <c r="G21" s="38">
        <v>8904115462082</v>
      </c>
      <c r="H21" s="39">
        <v>1707175</v>
      </c>
      <c r="I21" s="40">
        <v>6500</v>
      </c>
      <c r="J21" s="40">
        <v>6250</v>
      </c>
      <c r="K21" s="41"/>
      <c r="L21" s="41"/>
      <c r="M21" s="41"/>
      <c r="N21" s="42">
        <v>2500</v>
      </c>
      <c r="O21" s="186">
        <v>0</v>
      </c>
      <c r="P21" s="186">
        <f t="shared" si="0"/>
        <v>12750</v>
      </c>
      <c r="Q21" s="136" t="s">
        <v>320</v>
      </c>
      <c r="R21" s="137"/>
      <c r="S21" s="37"/>
    </row>
    <row r="22" spans="1:21" x14ac:dyDescent="0.35">
      <c r="A22" s="1">
        <v>14</v>
      </c>
      <c r="B22" s="187" t="s">
        <v>321</v>
      </c>
      <c r="C22" s="150" t="s">
        <v>322</v>
      </c>
      <c r="D22" s="35" t="s">
        <v>45</v>
      </c>
      <c r="E22" s="36" t="s">
        <v>46</v>
      </c>
      <c r="F22" s="37" t="s">
        <v>47</v>
      </c>
      <c r="G22" s="38">
        <v>8607215562087</v>
      </c>
      <c r="H22" s="39">
        <v>1286457</v>
      </c>
      <c r="I22" s="40">
        <v>6500</v>
      </c>
      <c r="J22" s="40">
        <v>6250</v>
      </c>
      <c r="K22" s="41"/>
      <c r="L22" s="41"/>
      <c r="M22" s="41"/>
      <c r="N22" s="42">
        <v>2500</v>
      </c>
      <c r="O22" s="129">
        <v>0</v>
      </c>
      <c r="P22" s="186">
        <f t="shared" si="0"/>
        <v>12750</v>
      </c>
      <c r="Q22" s="136" t="s">
        <v>323</v>
      </c>
      <c r="R22" s="137"/>
      <c r="S22" s="37"/>
    </row>
    <row r="23" spans="1:21" ht="26" x14ac:dyDescent="0.35">
      <c r="A23" s="1">
        <v>15</v>
      </c>
      <c r="B23" s="187" t="s">
        <v>324</v>
      </c>
      <c r="C23" s="150" t="s">
        <v>325</v>
      </c>
      <c r="D23" s="35" t="s">
        <v>23</v>
      </c>
      <c r="E23" s="36" t="s">
        <v>48</v>
      </c>
      <c r="F23" s="37" t="s">
        <v>49</v>
      </c>
      <c r="G23" s="38">
        <v>7705106471086</v>
      </c>
      <c r="H23" s="39">
        <v>1419418</v>
      </c>
      <c r="I23" s="40">
        <v>6500</v>
      </c>
      <c r="J23" s="40">
        <v>6750</v>
      </c>
      <c r="K23" s="41"/>
      <c r="L23" s="41"/>
      <c r="M23" s="41"/>
      <c r="N23" s="42">
        <v>2500</v>
      </c>
      <c r="O23" s="186">
        <v>0</v>
      </c>
      <c r="P23" s="186">
        <f t="shared" si="0"/>
        <v>13250</v>
      </c>
      <c r="Q23" s="136" t="s">
        <v>326</v>
      </c>
      <c r="R23" s="137"/>
      <c r="S23" s="37"/>
    </row>
    <row r="24" spans="1:21" x14ac:dyDescent="0.35">
      <c r="A24" s="1">
        <v>16</v>
      </c>
      <c r="B24" s="187" t="s">
        <v>327</v>
      </c>
      <c r="C24" s="150" t="s">
        <v>328</v>
      </c>
      <c r="D24" s="35" t="s">
        <v>50</v>
      </c>
      <c r="E24" s="36" t="s">
        <v>51</v>
      </c>
      <c r="F24" s="37" t="s">
        <v>52</v>
      </c>
      <c r="G24" s="38">
        <v>8302256189087</v>
      </c>
      <c r="H24" s="39">
        <v>1908399</v>
      </c>
      <c r="I24" s="40">
        <v>6500</v>
      </c>
      <c r="J24" s="40">
        <v>6250</v>
      </c>
      <c r="K24" s="41"/>
      <c r="L24" s="41"/>
      <c r="M24" s="41"/>
      <c r="N24" s="42">
        <v>2500</v>
      </c>
      <c r="O24" s="129">
        <v>0</v>
      </c>
      <c r="P24" s="129">
        <f t="shared" si="0"/>
        <v>12750</v>
      </c>
      <c r="Q24" s="136" t="s">
        <v>329</v>
      </c>
      <c r="R24" s="137"/>
      <c r="S24" s="37"/>
    </row>
    <row r="25" spans="1:21" x14ac:dyDescent="0.35">
      <c r="A25" s="1">
        <v>17</v>
      </c>
      <c r="B25" s="187" t="s">
        <v>330</v>
      </c>
      <c r="C25" s="150" t="s">
        <v>331</v>
      </c>
      <c r="D25" s="35" t="s">
        <v>39</v>
      </c>
      <c r="E25" s="36" t="s">
        <v>53</v>
      </c>
      <c r="F25" s="37" t="s">
        <v>54</v>
      </c>
      <c r="G25" s="38">
        <v>6612245953084</v>
      </c>
      <c r="H25" s="39">
        <v>1032773</v>
      </c>
      <c r="I25" s="40">
        <v>6500</v>
      </c>
      <c r="J25" s="40">
        <v>8750</v>
      </c>
      <c r="K25" s="41"/>
      <c r="L25" s="41"/>
      <c r="M25" s="41"/>
      <c r="N25" s="42">
        <v>2500</v>
      </c>
      <c r="O25" s="129">
        <v>0</v>
      </c>
      <c r="P25" s="129">
        <f t="shared" si="0"/>
        <v>15250</v>
      </c>
      <c r="Q25" s="136" t="s">
        <v>332</v>
      </c>
      <c r="S25" s="142"/>
    </row>
    <row r="26" spans="1:21" ht="26" hidden="1" x14ac:dyDescent="0.35">
      <c r="B26" s="187"/>
      <c r="C26" s="150"/>
      <c r="D26" s="35"/>
      <c r="E26" s="43">
        <v>26</v>
      </c>
      <c r="F26" s="44" t="s">
        <v>55</v>
      </c>
      <c r="G26" s="45">
        <v>8611295233080</v>
      </c>
      <c r="H26" s="46">
        <v>1599503</v>
      </c>
      <c r="I26" s="47">
        <v>0</v>
      </c>
      <c r="J26" s="47">
        <v>0</v>
      </c>
      <c r="K26" s="48"/>
      <c r="L26" s="48"/>
      <c r="M26" s="48"/>
      <c r="N26" s="42">
        <f>+O26</f>
        <v>0</v>
      </c>
      <c r="O26" s="186"/>
      <c r="P26" s="186">
        <f t="shared" si="0"/>
        <v>0</v>
      </c>
      <c r="Q26" s="138" t="s">
        <v>333</v>
      </c>
      <c r="R26" s="137"/>
      <c r="S26" s="44" t="s">
        <v>334</v>
      </c>
    </row>
    <row r="27" spans="1:21" x14ac:dyDescent="0.35">
      <c r="A27" s="1">
        <v>18</v>
      </c>
      <c r="B27" s="187" t="s">
        <v>335</v>
      </c>
      <c r="C27" s="150" t="s">
        <v>336</v>
      </c>
      <c r="D27" s="35" t="s">
        <v>56</v>
      </c>
      <c r="E27" s="36" t="s">
        <v>57</v>
      </c>
      <c r="F27" s="37" t="s">
        <v>58</v>
      </c>
      <c r="G27" s="38">
        <v>8004286093087</v>
      </c>
      <c r="H27" s="39">
        <v>2685496</v>
      </c>
      <c r="I27" s="65">
        <v>6500</v>
      </c>
      <c r="J27" s="65">
        <v>5750</v>
      </c>
      <c r="K27" s="41"/>
      <c r="L27" s="41"/>
      <c r="M27" s="41"/>
      <c r="N27" s="41">
        <v>2500</v>
      </c>
      <c r="O27" s="129">
        <v>0</v>
      </c>
      <c r="P27" s="186">
        <f t="shared" si="0"/>
        <v>12250</v>
      </c>
      <c r="Q27" s="136" t="s">
        <v>337</v>
      </c>
      <c r="R27" s="137"/>
      <c r="S27" s="37"/>
    </row>
    <row r="28" spans="1:21" x14ac:dyDescent="0.35">
      <c r="A28" s="1">
        <v>19</v>
      </c>
      <c r="B28" s="187" t="s">
        <v>338</v>
      </c>
      <c r="C28" s="150" t="s">
        <v>339</v>
      </c>
      <c r="D28" s="35" t="s">
        <v>59</v>
      </c>
      <c r="E28" s="36" t="s">
        <v>60</v>
      </c>
      <c r="F28" s="37" t="s">
        <v>61</v>
      </c>
      <c r="G28" s="38">
        <v>7209085678084</v>
      </c>
      <c r="H28" s="39">
        <v>379389</v>
      </c>
      <c r="I28" s="40">
        <v>6500</v>
      </c>
      <c r="J28" s="40">
        <v>5750</v>
      </c>
      <c r="K28" s="41"/>
      <c r="L28" s="41"/>
      <c r="M28" s="41"/>
      <c r="N28" s="42">
        <v>2500</v>
      </c>
      <c r="O28" s="186">
        <v>0</v>
      </c>
      <c r="P28" s="186">
        <f t="shared" si="0"/>
        <v>12250</v>
      </c>
      <c r="Q28" s="136" t="s">
        <v>337</v>
      </c>
      <c r="R28" s="137"/>
      <c r="S28" s="37"/>
    </row>
    <row r="29" spans="1:21" ht="26" hidden="1" x14ac:dyDescent="0.35">
      <c r="B29" s="187"/>
      <c r="C29" s="150"/>
      <c r="D29" s="35"/>
      <c r="E29" s="36">
        <v>30</v>
      </c>
      <c r="F29" s="44" t="s">
        <v>62</v>
      </c>
      <c r="G29" s="45" t="s">
        <v>63</v>
      </c>
      <c r="H29" s="44">
        <v>3160080</v>
      </c>
      <c r="I29" s="47">
        <v>0</v>
      </c>
      <c r="J29" s="47">
        <v>0</v>
      </c>
      <c r="K29" s="48"/>
      <c r="L29" s="48"/>
      <c r="M29" s="48"/>
      <c r="N29" s="61"/>
      <c r="O29" s="189"/>
      <c r="P29" s="186">
        <f t="shared" si="0"/>
        <v>0</v>
      </c>
      <c r="Q29" s="138" t="s">
        <v>340</v>
      </c>
      <c r="R29" s="137"/>
      <c r="S29" s="44" t="s">
        <v>341</v>
      </c>
    </row>
    <row r="30" spans="1:21" ht="26" hidden="1" x14ac:dyDescent="0.35">
      <c r="B30" s="187"/>
      <c r="C30" s="150"/>
      <c r="D30" s="35"/>
      <c r="E30" s="64">
        <v>32</v>
      </c>
      <c r="F30" s="37" t="s">
        <v>64</v>
      </c>
      <c r="G30" s="45">
        <v>8910245392081</v>
      </c>
      <c r="H30" s="46">
        <v>1743327</v>
      </c>
      <c r="I30" s="47"/>
      <c r="J30" s="47"/>
      <c r="K30" s="48"/>
      <c r="L30" s="48"/>
      <c r="M30" s="48"/>
      <c r="N30" s="42">
        <f>+O30</f>
        <v>0</v>
      </c>
      <c r="O30" s="186"/>
      <c r="P30" s="186">
        <f t="shared" si="0"/>
        <v>0</v>
      </c>
      <c r="Q30" s="143" t="s">
        <v>342</v>
      </c>
      <c r="R30" s="137"/>
      <c r="S30" s="37" t="s">
        <v>343</v>
      </c>
    </row>
    <row r="31" spans="1:21" s="74" customFormat="1" x14ac:dyDescent="0.35">
      <c r="A31" s="1">
        <v>20</v>
      </c>
      <c r="B31" s="190" t="s">
        <v>344</v>
      </c>
      <c r="C31" s="66" t="s">
        <v>345</v>
      </c>
      <c r="D31" s="67" t="s">
        <v>10</v>
      </c>
      <c r="E31" s="68" t="s">
        <v>65</v>
      </c>
      <c r="F31" s="69" t="s">
        <v>66</v>
      </c>
      <c r="G31" s="70">
        <v>6212315812086</v>
      </c>
      <c r="H31" s="71">
        <v>280359</v>
      </c>
      <c r="I31" s="72">
        <v>6500</v>
      </c>
      <c r="J31" s="72">
        <v>5250</v>
      </c>
      <c r="K31" s="73"/>
      <c r="L31" s="73"/>
      <c r="M31" s="73"/>
      <c r="N31" s="73">
        <v>2500</v>
      </c>
      <c r="O31" s="144">
        <v>0</v>
      </c>
      <c r="P31" s="186">
        <f t="shared" si="0"/>
        <v>11750</v>
      </c>
      <c r="Q31" s="145" t="s">
        <v>346</v>
      </c>
      <c r="R31" s="137"/>
      <c r="S31" s="69"/>
      <c r="U31" s="75"/>
    </row>
    <row r="32" spans="1:21" x14ac:dyDescent="0.35">
      <c r="A32" s="1">
        <v>21</v>
      </c>
      <c r="B32" s="187" t="s">
        <v>347</v>
      </c>
      <c r="C32" s="150" t="s">
        <v>348</v>
      </c>
      <c r="D32" s="35" t="s">
        <v>56</v>
      </c>
      <c r="E32" s="36" t="s">
        <v>67</v>
      </c>
      <c r="F32" s="37" t="s">
        <v>68</v>
      </c>
      <c r="G32" s="38">
        <v>8412165273086</v>
      </c>
      <c r="H32" s="39">
        <v>2840362</v>
      </c>
      <c r="I32" s="40">
        <v>6500</v>
      </c>
      <c r="J32" s="40">
        <v>5250</v>
      </c>
      <c r="K32" s="41"/>
      <c r="L32" s="41"/>
      <c r="M32" s="41"/>
      <c r="N32" s="42">
        <v>2500</v>
      </c>
      <c r="O32" s="129">
        <v>0</v>
      </c>
      <c r="P32" s="129">
        <f t="shared" si="0"/>
        <v>11750</v>
      </c>
      <c r="Q32" s="136" t="s">
        <v>349</v>
      </c>
      <c r="R32" s="137"/>
      <c r="S32" s="37"/>
    </row>
    <row r="33" spans="1:21" x14ac:dyDescent="0.35">
      <c r="A33" s="1">
        <v>22</v>
      </c>
      <c r="B33" s="187" t="s">
        <v>350</v>
      </c>
      <c r="C33" s="150" t="s">
        <v>351</v>
      </c>
      <c r="D33" s="35" t="s">
        <v>16</v>
      </c>
      <c r="E33" s="36" t="s">
        <v>69</v>
      </c>
      <c r="F33" s="37" t="s">
        <v>70</v>
      </c>
      <c r="G33" s="38">
        <v>9304125150083</v>
      </c>
      <c r="H33" s="39">
        <v>2112869</v>
      </c>
      <c r="I33" s="65">
        <v>6500</v>
      </c>
      <c r="J33" s="65">
        <v>5250</v>
      </c>
      <c r="K33" s="41"/>
      <c r="L33" s="41"/>
      <c r="M33" s="41"/>
      <c r="N33" s="41">
        <v>2500</v>
      </c>
      <c r="O33" s="129">
        <v>0</v>
      </c>
      <c r="P33" s="186">
        <f t="shared" si="0"/>
        <v>11750</v>
      </c>
      <c r="Q33" s="136" t="s">
        <v>352</v>
      </c>
      <c r="R33" s="137"/>
      <c r="S33" s="37"/>
    </row>
    <row r="34" spans="1:21" s="74" customFormat="1" ht="26" hidden="1" x14ac:dyDescent="0.35">
      <c r="A34" s="1"/>
      <c r="B34" s="190"/>
      <c r="C34" s="66"/>
      <c r="D34" s="67"/>
      <c r="E34" s="68">
        <v>36</v>
      </c>
      <c r="F34" s="69" t="s">
        <v>71</v>
      </c>
      <c r="G34" s="70">
        <v>7612166366083</v>
      </c>
      <c r="H34" s="71">
        <v>1992221</v>
      </c>
      <c r="I34" s="76">
        <v>0</v>
      </c>
      <c r="J34" s="76">
        <v>0</v>
      </c>
      <c r="K34" s="73"/>
      <c r="L34" s="73"/>
      <c r="M34" s="73"/>
      <c r="N34" s="77">
        <f>+O34</f>
        <v>0</v>
      </c>
      <c r="O34" s="191"/>
      <c r="P34" s="186">
        <f t="shared" si="0"/>
        <v>0</v>
      </c>
      <c r="Q34" s="145" t="s">
        <v>353</v>
      </c>
      <c r="R34" s="137"/>
      <c r="S34" s="69" t="s">
        <v>354</v>
      </c>
      <c r="U34" s="75"/>
    </row>
    <row r="35" spans="1:21" s="74" customFormat="1" hidden="1" x14ac:dyDescent="0.35">
      <c r="A35" s="1"/>
      <c r="B35" s="190"/>
      <c r="C35" s="66"/>
      <c r="D35" s="67"/>
      <c r="E35" s="68">
        <v>37</v>
      </c>
      <c r="F35" s="69" t="s">
        <v>72</v>
      </c>
      <c r="G35" s="70">
        <v>9008166285084</v>
      </c>
      <c r="H35" s="71">
        <v>2199718</v>
      </c>
      <c r="I35" s="72">
        <v>0</v>
      </c>
      <c r="J35" s="72">
        <v>0</v>
      </c>
      <c r="K35" s="73"/>
      <c r="L35" s="73"/>
      <c r="M35" s="73"/>
      <c r="N35" s="73">
        <v>2500</v>
      </c>
      <c r="O35" s="144">
        <v>0</v>
      </c>
      <c r="P35" s="186">
        <f t="shared" si="0"/>
        <v>0</v>
      </c>
      <c r="Q35" s="145" t="s">
        <v>355</v>
      </c>
      <c r="R35" s="137"/>
      <c r="S35" s="69" t="s">
        <v>356</v>
      </c>
      <c r="U35" s="75"/>
    </row>
    <row r="36" spans="1:21" x14ac:dyDescent="0.35">
      <c r="A36" s="1">
        <v>23</v>
      </c>
      <c r="B36" s="187" t="s">
        <v>357</v>
      </c>
      <c r="C36" s="150" t="s">
        <v>358</v>
      </c>
      <c r="D36" s="35" t="s">
        <v>73</v>
      </c>
      <c r="E36" s="36" t="s">
        <v>74</v>
      </c>
      <c r="F36" s="37" t="s">
        <v>75</v>
      </c>
      <c r="G36" s="38">
        <v>9006215424084</v>
      </c>
      <c r="H36" s="39">
        <v>2655682</v>
      </c>
      <c r="I36" s="40">
        <v>6500</v>
      </c>
      <c r="J36" s="40">
        <v>5750</v>
      </c>
      <c r="K36" s="41"/>
      <c r="L36" s="41"/>
      <c r="M36" s="41"/>
      <c r="N36" s="42">
        <v>2500</v>
      </c>
      <c r="O36" s="186">
        <v>0</v>
      </c>
      <c r="P36" s="186">
        <f t="shared" ref="P36:P50" si="1">I36+J36-L36-O36+M36</f>
        <v>12250</v>
      </c>
      <c r="Q36" s="136" t="s">
        <v>359</v>
      </c>
      <c r="R36" s="137"/>
      <c r="S36" s="37"/>
    </row>
    <row r="37" spans="1:21" ht="26" hidden="1" x14ac:dyDescent="0.35">
      <c r="B37" s="187"/>
      <c r="C37" s="150"/>
      <c r="D37" s="35"/>
      <c r="E37" s="43">
        <v>47</v>
      </c>
      <c r="F37" s="44" t="s">
        <v>76</v>
      </c>
      <c r="G37" s="45">
        <v>6111075751080</v>
      </c>
      <c r="H37" s="44">
        <v>749669</v>
      </c>
      <c r="I37" s="47">
        <v>0</v>
      </c>
      <c r="J37" s="78">
        <v>0</v>
      </c>
      <c r="K37" s="79"/>
      <c r="L37" s="79"/>
      <c r="M37" s="79"/>
      <c r="N37" s="80">
        <v>0</v>
      </c>
      <c r="O37" s="80">
        <v>0</v>
      </c>
      <c r="P37" s="186">
        <f t="shared" si="1"/>
        <v>0</v>
      </c>
      <c r="Q37" s="138" t="s">
        <v>360</v>
      </c>
      <c r="R37" s="137"/>
      <c r="S37" s="192" t="s">
        <v>361</v>
      </c>
    </row>
    <row r="38" spans="1:21" ht="26" hidden="1" x14ac:dyDescent="0.35">
      <c r="B38" s="187"/>
      <c r="C38" s="150"/>
      <c r="D38" s="35"/>
      <c r="E38" s="43">
        <v>48</v>
      </c>
      <c r="F38" s="44" t="s">
        <v>77</v>
      </c>
      <c r="G38" s="45">
        <v>6509115765087</v>
      </c>
      <c r="H38" s="44">
        <v>167280</v>
      </c>
      <c r="I38" s="47">
        <v>0</v>
      </c>
      <c r="J38" s="78">
        <v>0</v>
      </c>
      <c r="K38" s="79"/>
      <c r="L38" s="79"/>
      <c r="M38" s="79"/>
      <c r="N38" s="80">
        <f>+O38</f>
        <v>0</v>
      </c>
      <c r="O38" s="80">
        <v>0</v>
      </c>
      <c r="P38" s="186">
        <f t="shared" si="1"/>
        <v>0</v>
      </c>
      <c r="Q38" s="138" t="s">
        <v>362</v>
      </c>
      <c r="R38" s="137"/>
      <c r="S38" s="44" t="s">
        <v>363</v>
      </c>
    </row>
    <row r="39" spans="1:21" ht="26" hidden="1" x14ac:dyDescent="0.35">
      <c r="B39" s="187"/>
      <c r="C39" s="150"/>
      <c r="D39" s="35"/>
      <c r="E39" s="43">
        <v>49</v>
      </c>
      <c r="F39" s="44" t="s">
        <v>78</v>
      </c>
      <c r="G39" s="45">
        <v>7906146195087</v>
      </c>
      <c r="H39" s="44">
        <v>1808673</v>
      </c>
      <c r="I39" s="81">
        <v>0</v>
      </c>
      <c r="J39" s="82">
        <v>0</v>
      </c>
      <c r="K39" s="83"/>
      <c r="L39" s="83"/>
      <c r="M39" s="83"/>
      <c r="N39" s="34">
        <f>+O39</f>
        <v>0</v>
      </c>
      <c r="O39" s="34"/>
      <c r="P39" s="186">
        <f t="shared" si="1"/>
        <v>0</v>
      </c>
      <c r="Q39" s="138" t="s">
        <v>364</v>
      </c>
      <c r="R39" s="137"/>
      <c r="S39" s="44" t="s">
        <v>365</v>
      </c>
    </row>
    <row r="40" spans="1:21" ht="22.5" customHeight="1" x14ac:dyDescent="0.35">
      <c r="A40" s="1">
        <v>24</v>
      </c>
      <c r="B40" s="187" t="s">
        <v>366</v>
      </c>
      <c r="C40" s="150" t="s">
        <v>367</v>
      </c>
      <c r="D40" s="35" t="s">
        <v>79</v>
      </c>
      <c r="E40" s="36" t="s">
        <v>80</v>
      </c>
      <c r="F40" s="37" t="s">
        <v>81</v>
      </c>
      <c r="G40" s="38">
        <v>8408126348082</v>
      </c>
      <c r="H40" s="39">
        <v>2038494</v>
      </c>
      <c r="I40" s="40">
        <v>6500</v>
      </c>
      <c r="J40" s="40">
        <v>8250</v>
      </c>
      <c r="K40" s="41"/>
      <c r="L40" s="41"/>
      <c r="M40" s="41"/>
      <c r="N40" s="42">
        <v>2500</v>
      </c>
      <c r="O40" s="186">
        <v>0</v>
      </c>
      <c r="P40" s="186">
        <f t="shared" si="1"/>
        <v>14750</v>
      </c>
      <c r="Q40" s="84" t="s">
        <v>368</v>
      </c>
      <c r="R40" s="146"/>
      <c r="S40" s="37"/>
    </row>
    <row r="41" spans="1:21" ht="14.15" customHeight="1" x14ac:dyDescent="0.35">
      <c r="A41" s="1">
        <v>25</v>
      </c>
      <c r="B41" s="184" t="s">
        <v>369</v>
      </c>
      <c r="C41" s="185" t="s">
        <v>370</v>
      </c>
      <c r="D41" s="35" t="s">
        <v>42</v>
      </c>
      <c r="E41" s="36" t="s">
        <v>82</v>
      </c>
      <c r="F41" s="37" t="s">
        <v>83</v>
      </c>
      <c r="G41" s="38">
        <v>8012186091085</v>
      </c>
      <c r="H41" s="37">
        <v>2424501</v>
      </c>
      <c r="I41" s="40">
        <v>6500</v>
      </c>
      <c r="J41" s="40">
        <v>5250</v>
      </c>
      <c r="K41" s="41"/>
      <c r="L41" s="41"/>
      <c r="M41" s="41"/>
      <c r="N41" s="42">
        <v>2500</v>
      </c>
      <c r="O41" s="186">
        <v>0</v>
      </c>
      <c r="P41" s="186">
        <f t="shared" si="1"/>
        <v>11750</v>
      </c>
      <c r="Q41" s="84" t="s">
        <v>371</v>
      </c>
      <c r="R41" s="146"/>
      <c r="S41" s="37"/>
    </row>
    <row r="42" spans="1:21" ht="26" hidden="1" x14ac:dyDescent="0.35">
      <c r="B42" s="187"/>
      <c r="C42" s="150"/>
      <c r="D42" s="35"/>
      <c r="E42" s="59">
        <v>51</v>
      </c>
      <c r="F42" s="44" t="s">
        <v>84</v>
      </c>
      <c r="G42" s="45" t="s">
        <v>85</v>
      </c>
      <c r="H42" s="44">
        <v>1785160</v>
      </c>
      <c r="I42" s="47">
        <v>0</v>
      </c>
      <c r="J42" s="78">
        <v>0</v>
      </c>
      <c r="K42" s="79"/>
      <c r="L42" s="79"/>
      <c r="M42" s="79"/>
      <c r="N42" s="80">
        <v>0</v>
      </c>
      <c r="O42" s="80">
        <v>0</v>
      </c>
      <c r="P42" s="186">
        <f t="shared" si="1"/>
        <v>0</v>
      </c>
      <c r="Q42" s="138" t="s">
        <v>372</v>
      </c>
      <c r="R42" s="137"/>
      <c r="S42" s="44" t="s">
        <v>373</v>
      </c>
    </row>
    <row r="43" spans="1:21" ht="26" hidden="1" x14ac:dyDescent="0.35">
      <c r="B43" s="187"/>
      <c r="C43" s="150"/>
      <c r="D43" s="35"/>
      <c r="E43" s="59">
        <v>52</v>
      </c>
      <c r="F43" s="44" t="s">
        <v>86</v>
      </c>
      <c r="G43" s="45" t="s">
        <v>87</v>
      </c>
      <c r="H43" s="44">
        <v>1322412</v>
      </c>
      <c r="I43" s="47">
        <v>0</v>
      </c>
      <c r="J43" s="78">
        <v>0</v>
      </c>
      <c r="K43" s="79"/>
      <c r="L43" s="79"/>
      <c r="M43" s="79"/>
      <c r="N43" s="34">
        <f>+O43</f>
        <v>0</v>
      </c>
      <c r="O43" s="34"/>
      <c r="P43" s="186">
        <f t="shared" si="1"/>
        <v>0</v>
      </c>
      <c r="Q43" s="138" t="s">
        <v>374</v>
      </c>
      <c r="R43" s="137"/>
      <c r="S43" s="44" t="s">
        <v>375</v>
      </c>
    </row>
    <row r="44" spans="1:21" x14ac:dyDescent="0.35">
      <c r="A44" s="1">
        <v>26</v>
      </c>
      <c r="B44" s="187" t="s">
        <v>376</v>
      </c>
      <c r="C44" s="150">
        <v>1020278211</v>
      </c>
      <c r="D44" s="35" t="s">
        <v>59</v>
      </c>
      <c r="E44" s="66" t="s">
        <v>88</v>
      </c>
      <c r="F44" s="69" t="s">
        <v>89</v>
      </c>
      <c r="G44" s="70" t="s">
        <v>90</v>
      </c>
      <c r="H44" s="69">
        <v>1963620</v>
      </c>
      <c r="I44" s="76">
        <v>6500</v>
      </c>
      <c r="J44" s="85">
        <v>5250</v>
      </c>
      <c r="K44" s="86"/>
      <c r="L44" s="86"/>
      <c r="M44" s="86"/>
      <c r="N44" s="87">
        <v>2500</v>
      </c>
      <c r="O44" s="87">
        <v>0</v>
      </c>
      <c r="P44" s="186">
        <f>I44+J44</f>
        <v>11750</v>
      </c>
      <c r="Q44" s="145" t="s">
        <v>377</v>
      </c>
      <c r="R44" s="137"/>
      <c r="S44" s="147"/>
    </row>
    <row r="45" spans="1:21" x14ac:dyDescent="0.35">
      <c r="A45" s="1">
        <v>27</v>
      </c>
      <c r="B45" s="187" t="s">
        <v>378</v>
      </c>
      <c r="C45" s="150" t="s">
        <v>379</v>
      </c>
      <c r="D45" s="35" t="s">
        <v>91</v>
      </c>
      <c r="E45" s="88" t="s">
        <v>92</v>
      </c>
      <c r="F45" s="89" t="s">
        <v>93</v>
      </c>
      <c r="G45" s="38" t="s">
        <v>94</v>
      </c>
      <c r="H45" s="38">
        <v>1862916</v>
      </c>
      <c r="I45" s="90">
        <v>6500</v>
      </c>
      <c r="J45" s="90">
        <v>5250</v>
      </c>
      <c r="K45" s="91"/>
      <c r="L45" s="91"/>
      <c r="M45" s="91"/>
      <c r="N45" s="41">
        <v>2500</v>
      </c>
      <c r="O45" s="129">
        <v>0</v>
      </c>
      <c r="P45" s="129">
        <f t="shared" si="1"/>
        <v>11750</v>
      </c>
      <c r="Q45" s="84" t="s">
        <v>380</v>
      </c>
      <c r="R45" s="146"/>
      <c r="S45" s="37"/>
    </row>
    <row r="46" spans="1:21" ht="26.25" hidden="1" customHeight="1" x14ac:dyDescent="0.35">
      <c r="B46" s="187"/>
      <c r="C46" s="150"/>
      <c r="D46" s="35"/>
      <c r="E46" s="92">
        <v>54</v>
      </c>
      <c r="F46" s="93" t="s">
        <v>95</v>
      </c>
      <c r="G46" s="45" t="s">
        <v>96</v>
      </c>
      <c r="H46" s="45">
        <v>2700403</v>
      </c>
      <c r="I46" s="94" t="s">
        <v>381</v>
      </c>
      <c r="J46" s="95">
        <v>0</v>
      </c>
      <c r="K46" s="96"/>
      <c r="L46" s="96"/>
      <c r="M46" s="96"/>
      <c r="N46" s="61">
        <v>0</v>
      </c>
      <c r="O46" s="140">
        <v>0</v>
      </c>
      <c r="P46" s="129" t="e">
        <f t="shared" si="1"/>
        <v>#VALUE!</v>
      </c>
      <c r="Q46" s="59" t="s">
        <v>382</v>
      </c>
      <c r="R46" s="146"/>
      <c r="S46" s="44"/>
    </row>
    <row r="47" spans="1:21" hidden="1" x14ac:dyDescent="0.35">
      <c r="B47" s="187"/>
      <c r="C47" s="150"/>
      <c r="D47" s="35"/>
      <c r="E47" s="88">
        <v>55</v>
      </c>
      <c r="F47" s="89" t="s">
        <v>97</v>
      </c>
      <c r="G47" s="38" t="s">
        <v>98</v>
      </c>
      <c r="H47" s="38">
        <v>1500494</v>
      </c>
      <c r="I47" s="90">
        <v>6500</v>
      </c>
      <c r="J47" s="90">
        <v>3500</v>
      </c>
      <c r="K47" s="91"/>
      <c r="L47" s="91"/>
      <c r="M47" s="91"/>
      <c r="N47" s="41">
        <v>2500</v>
      </c>
      <c r="O47" s="129">
        <v>0</v>
      </c>
      <c r="P47" s="129">
        <f t="shared" si="1"/>
        <v>10000</v>
      </c>
      <c r="Q47" s="84" t="s">
        <v>383</v>
      </c>
      <c r="R47" s="146"/>
      <c r="S47" s="37" t="s">
        <v>384</v>
      </c>
    </row>
    <row r="48" spans="1:21" x14ac:dyDescent="0.35">
      <c r="A48" s="1">
        <v>28</v>
      </c>
      <c r="B48" s="187" t="s">
        <v>385</v>
      </c>
      <c r="C48" s="150" t="s">
        <v>386</v>
      </c>
      <c r="D48" s="35" t="s">
        <v>99</v>
      </c>
      <c r="E48" s="88" t="s">
        <v>100</v>
      </c>
      <c r="F48" s="89" t="s">
        <v>101</v>
      </c>
      <c r="G48" s="38" t="s">
        <v>102</v>
      </c>
      <c r="H48" s="38">
        <v>1717804</v>
      </c>
      <c r="I48" s="90">
        <v>6500</v>
      </c>
      <c r="J48" s="90">
        <v>5250</v>
      </c>
      <c r="K48" s="91"/>
      <c r="L48" s="91"/>
      <c r="M48" s="91"/>
      <c r="N48" s="41">
        <v>2500</v>
      </c>
      <c r="O48" s="129">
        <v>0</v>
      </c>
      <c r="P48" s="129">
        <f t="shared" si="1"/>
        <v>11750</v>
      </c>
      <c r="Q48" s="84" t="s">
        <v>387</v>
      </c>
      <c r="R48" s="146"/>
      <c r="S48" s="37"/>
    </row>
    <row r="49" spans="1:21" hidden="1" x14ac:dyDescent="0.35">
      <c r="B49" s="187"/>
      <c r="C49" s="150"/>
      <c r="D49" s="35"/>
      <c r="E49" s="88">
        <v>60</v>
      </c>
      <c r="F49" s="93" t="s">
        <v>103</v>
      </c>
      <c r="G49" s="45" t="s">
        <v>104</v>
      </c>
      <c r="H49" s="45">
        <v>1417139</v>
      </c>
      <c r="I49" s="97">
        <v>0</v>
      </c>
      <c r="J49" s="97">
        <v>0</v>
      </c>
      <c r="K49" s="96"/>
      <c r="L49" s="96"/>
      <c r="M49" s="96"/>
      <c r="N49" s="41">
        <f>+O49</f>
        <v>0</v>
      </c>
      <c r="O49" s="129"/>
      <c r="P49" s="186">
        <f t="shared" si="1"/>
        <v>0</v>
      </c>
      <c r="Q49" s="59" t="s">
        <v>387</v>
      </c>
      <c r="R49" s="146"/>
      <c r="S49" s="44"/>
    </row>
    <row r="50" spans="1:21" ht="52" x14ac:dyDescent="0.35">
      <c r="A50" s="1">
        <v>29</v>
      </c>
      <c r="B50" s="187" t="s">
        <v>388</v>
      </c>
      <c r="C50" s="150" t="s">
        <v>389</v>
      </c>
      <c r="D50" s="35" t="s">
        <v>4</v>
      </c>
      <c r="E50" s="88" t="s">
        <v>105</v>
      </c>
      <c r="F50" s="89" t="s">
        <v>106</v>
      </c>
      <c r="G50" s="38" t="s">
        <v>107</v>
      </c>
      <c r="H50" s="38">
        <v>1553300</v>
      </c>
      <c r="I50" s="90">
        <v>6500</v>
      </c>
      <c r="J50" s="90">
        <v>5750</v>
      </c>
      <c r="K50" s="91"/>
      <c r="L50" s="91"/>
      <c r="M50" s="91"/>
      <c r="N50" s="41">
        <v>2500</v>
      </c>
      <c r="O50" s="162">
        <v>2000</v>
      </c>
      <c r="P50" s="162">
        <f t="shared" si="1"/>
        <v>10250</v>
      </c>
      <c r="Q50" s="166" t="s">
        <v>340</v>
      </c>
      <c r="R50" s="167"/>
      <c r="S50" s="163" t="s">
        <v>390</v>
      </c>
    </row>
    <row r="51" spans="1:21" s="62" customFormat="1" hidden="1" x14ac:dyDescent="0.35">
      <c r="A51" s="1"/>
      <c r="B51" s="188"/>
      <c r="C51" s="59"/>
      <c r="D51" s="60"/>
      <c r="E51" s="92">
        <v>63</v>
      </c>
      <c r="F51" s="93" t="s">
        <v>108</v>
      </c>
      <c r="G51" s="45" t="s">
        <v>109</v>
      </c>
      <c r="H51" s="45">
        <v>2786964</v>
      </c>
      <c r="I51" s="97">
        <v>0</v>
      </c>
      <c r="J51" s="97">
        <v>0</v>
      </c>
      <c r="K51" s="96"/>
      <c r="L51" s="96"/>
      <c r="M51" s="96"/>
      <c r="N51" s="48">
        <f>+O51</f>
        <v>0</v>
      </c>
      <c r="O51" s="140"/>
      <c r="P51" s="186">
        <f>I51+J51-L51-O51+M51</f>
        <v>0</v>
      </c>
      <c r="Q51" s="59" t="s">
        <v>391</v>
      </c>
      <c r="R51" s="146"/>
      <c r="S51" s="44"/>
      <c r="U51" s="63"/>
    </row>
    <row r="52" spans="1:21" x14ac:dyDescent="0.35">
      <c r="A52" s="1">
        <v>30</v>
      </c>
      <c r="B52" s="187" t="s">
        <v>392</v>
      </c>
      <c r="C52" s="150" t="s">
        <v>393</v>
      </c>
      <c r="D52" s="35" t="s">
        <v>10</v>
      </c>
      <c r="E52" s="88" t="s">
        <v>110</v>
      </c>
      <c r="F52" s="89" t="s">
        <v>111</v>
      </c>
      <c r="G52" s="38" t="s">
        <v>112</v>
      </c>
      <c r="H52" s="38">
        <v>2895541</v>
      </c>
      <c r="I52" s="90">
        <v>6500</v>
      </c>
      <c r="J52" s="90">
        <v>5250</v>
      </c>
      <c r="K52" s="91"/>
      <c r="L52" s="91"/>
      <c r="M52" s="91"/>
      <c r="N52" s="41">
        <v>2500</v>
      </c>
      <c r="O52" s="129">
        <v>0</v>
      </c>
      <c r="P52" s="129">
        <f>I52+J52-L52-O52+M52</f>
        <v>11750</v>
      </c>
      <c r="Q52" s="84" t="s">
        <v>394</v>
      </c>
      <c r="R52" s="146"/>
      <c r="S52" s="37"/>
    </row>
    <row r="53" spans="1:21" x14ac:dyDescent="0.35">
      <c r="A53" s="1">
        <v>31</v>
      </c>
      <c r="B53" s="187" t="s">
        <v>395</v>
      </c>
      <c r="C53" s="150" t="s">
        <v>396</v>
      </c>
      <c r="D53" s="35" t="s">
        <v>113</v>
      </c>
      <c r="E53" s="88" t="s">
        <v>114</v>
      </c>
      <c r="F53" s="89" t="s">
        <v>115</v>
      </c>
      <c r="G53" s="38" t="s">
        <v>116</v>
      </c>
      <c r="H53" s="38">
        <v>263496</v>
      </c>
      <c r="I53" s="90">
        <v>6500</v>
      </c>
      <c r="J53" s="90">
        <v>6250</v>
      </c>
      <c r="K53" s="91"/>
      <c r="L53" s="91"/>
      <c r="M53" s="91"/>
      <c r="N53" s="41">
        <v>2500</v>
      </c>
      <c r="O53" s="129">
        <v>0</v>
      </c>
      <c r="P53" s="186">
        <f>I53+J53-L53-O53+M53</f>
        <v>12750</v>
      </c>
      <c r="Q53" s="84" t="s">
        <v>397</v>
      </c>
      <c r="R53" s="146"/>
      <c r="S53" s="37"/>
    </row>
    <row r="54" spans="1:21" s="62" customFormat="1" ht="26" hidden="1" x14ac:dyDescent="0.35">
      <c r="A54" s="1"/>
      <c r="B54" s="188"/>
      <c r="C54" s="59"/>
      <c r="D54" s="60"/>
      <c r="E54" s="92">
        <v>73</v>
      </c>
      <c r="F54" s="93" t="s">
        <v>117</v>
      </c>
      <c r="G54" s="45"/>
      <c r="H54" s="45"/>
      <c r="I54" s="97">
        <v>0</v>
      </c>
      <c r="J54" s="97">
        <v>0</v>
      </c>
      <c r="K54" s="96"/>
      <c r="L54" s="96"/>
      <c r="M54" s="96"/>
      <c r="N54" s="48"/>
      <c r="O54" s="129">
        <v>0</v>
      </c>
      <c r="P54" s="186">
        <f>I54+J54-L54-O54+M54</f>
        <v>0</v>
      </c>
      <c r="Q54" s="59" t="s">
        <v>398</v>
      </c>
      <c r="R54" s="146"/>
      <c r="S54" s="148"/>
      <c r="U54" s="63"/>
    </row>
    <row r="55" spans="1:21" x14ac:dyDescent="0.35">
      <c r="A55" s="1">
        <v>32</v>
      </c>
      <c r="B55" s="187" t="s">
        <v>118</v>
      </c>
      <c r="C55" s="150" t="s">
        <v>399</v>
      </c>
      <c r="D55" s="35"/>
      <c r="E55" s="98" t="s">
        <v>118</v>
      </c>
      <c r="F55" s="99" t="s">
        <v>119</v>
      </c>
      <c r="G55" s="51">
        <v>9702195175080</v>
      </c>
      <c r="H55" s="51">
        <v>2902422</v>
      </c>
      <c r="I55" s="100">
        <v>6500</v>
      </c>
      <c r="J55" s="100">
        <v>8500</v>
      </c>
      <c r="K55" s="101"/>
      <c r="L55" s="101"/>
      <c r="M55" s="101"/>
      <c r="N55" s="56"/>
      <c r="O55" s="149">
        <v>0</v>
      </c>
      <c r="P55" s="56">
        <f>I55+J55-O55</f>
        <v>15000</v>
      </c>
      <c r="Q55" s="150" t="s">
        <v>400</v>
      </c>
      <c r="R55" s="151"/>
      <c r="S55" s="50"/>
    </row>
    <row r="56" spans="1:21" x14ac:dyDescent="0.35">
      <c r="A56" s="1">
        <v>33</v>
      </c>
      <c r="B56" s="187" t="s">
        <v>401</v>
      </c>
      <c r="C56" s="150" t="s">
        <v>402</v>
      </c>
      <c r="D56" s="35" t="s">
        <v>79</v>
      </c>
      <c r="E56" s="88" t="s">
        <v>120</v>
      </c>
      <c r="F56" s="89" t="s">
        <v>121</v>
      </c>
      <c r="G56" s="38" t="s">
        <v>122</v>
      </c>
      <c r="H56" s="38">
        <v>1741317</v>
      </c>
      <c r="I56" s="90">
        <v>6500</v>
      </c>
      <c r="J56" s="90">
        <v>8250</v>
      </c>
      <c r="K56" s="91"/>
      <c r="L56" s="91"/>
      <c r="M56" s="91"/>
      <c r="N56" s="41">
        <v>2500</v>
      </c>
      <c r="O56" s="33">
        <v>0</v>
      </c>
      <c r="P56" s="34">
        <f t="shared" ref="P56:P91" si="2">I56+J56-L56-O56+M56</f>
        <v>14750</v>
      </c>
      <c r="Q56" s="152" t="s">
        <v>403</v>
      </c>
      <c r="R56" s="153"/>
      <c r="S56" s="28"/>
    </row>
    <row r="57" spans="1:21" s="62" customFormat="1" hidden="1" x14ac:dyDescent="0.35">
      <c r="A57" s="1"/>
      <c r="B57" s="188"/>
      <c r="C57" s="59"/>
      <c r="D57" s="60"/>
      <c r="E57" s="92">
        <v>77</v>
      </c>
      <c r="F57" s="93" t="s">
        <v>123</v>
      </c>
      <c r="G57" s="45" t="s">
        <v>124</v>
      </c>
      <c r="H57" s="45"/>
      <c r="I57" s="97">
        <v>0</v>
      </c>
      <c r="J57" s="97">
        <v>0</v>
      </c>
      <c r="K57" s="96"/>
      <c r="L57" s="96"/>
      <c r="M57" s="96"/>
      <c r="N57" s="48"/>
      <c r="O57" s="140"/>
      <c r="P57" s="186">
        <f t="shared" si="2"/>
        <v>0</v>
      </c>
      <c r="Q57" s="59" t="s">
        <v>403</v>
      </c>
      <c r="R57" s="146"/>
      <c r="S57" s="44"/>
      <c r="U57" s="63"/>
    </row>
    <row r="58" spans="1:21" s="74" customFormat="1" ht="42.75" customHeight="1" x14ac:dyDescent="0.35">
      <c r="A58" s="1">
        <v>34</v>
      </c>
      <c r="B58" s="190" t="s">
        <v>404</v>
      </c>
      <c r="C58" s="66" t="s">
        <v>405</v>
      </c>
      <c r="D58" s="67" t="s">
        <v>4</v>
      </c>
      <c r="E58" s="102" t="s">
        <v>125</v>
      </c>
      <c r="F58" s="103" t="s">
        <v>126</v>
      </c>
      <c r="G58" s="70" t="s">
        <v>127</v>
      </c>
      <c r="H58" s="70">
        <v>2257376</v>
      </c>
      <c r="I58" s="104">
        <v>6500</v>
      </c>
      <c r="J58" s="104">
        <v>7250</v>
      </c>
      <c r="K58" s="105"/>
      <c r="L58" s="105"/>
      <c r="M58" s="105"/>
      <c r="N58" s="73">
        <v>2500</v>
      </c>
      <c r="O58" s="144"/>
      <c r="P58" s="129">
        <f t="shared" si="2"/>
        <v>13750</v>
      </c>
      <c r="Q58" s="66" t="s">
        <v>406</v>
      </c>
      <c r="R58" s="146"/>
      <c r="S58" s="69"/>
      <c r="U58" s="75"/>
    </row>
    <row r="59" spans="1:21" s="74" customFormat="1" x14ac:dyDescent="0.35">
      <c r="A59" s="1">
        <v>35</v>
      </c>
      <c r="B59" s="190" t="s">
        <v>407</v>
      </c>
      <c r="C59" s="66" t="s">
        <v>408</v>
      </c>
      <c r="D59" s="67" t="s">
        <v>128</v>
      </c>
      <c r="E59" s="102" t="s">
        <v>129</v>
      </c>
      <c r="F59" s="103" t="s">
        <v>130</v>
      </c>
      <c r="G59" s="70" t="s">
        <v>131</v>
      </c>
      <c r="H59" s="70">
        <v>1746851</v>
      </c>
      <c r="I59" s="104">
        <v>6500</v>
      </c>
      <c r="J59" s="104">
        <v>5250</v>
      </c>
      <c r="K59" s="105"/>
      <c r="L59" s="105"/>
      <c r="M59" s="105"/>
      <c r="N59" s="73">
        <v>2500</v>
      </c>
      <c r="O59" s="144">
        <v>0</v>
      </c>
      <c r="P59" s="186">
        <f t="shared" si="2"/>
        <v>11750</v>
      </c>
      <c r="Q59" s="66" t="s">
        <v>409</v>
      </c>
      <c r="R59" s="146"/>
      <c r="S59" s="69"/>
      <c r="U59" s="75"/>
    </row>
    <row r="60" spans="1:21" s="74" customFormat="1" x14ac:dyDescent="0.35">
      <c r="A60" s="1">
        <v>36</v>
      </c>
      <c r="B60" s="190" t="s">
        <v>410</v>
      </c>
      <c r="C60" s="66" t="s">
        <v>411</v>
      </c>
      <c r="D60" s="67" t="s">
        <v>132</v>
      </c>
      <c r="E60" s="102" t="s">
        <v>133</v>
      </c>
      <c r="F60" s="103" t="s">
        <v>134</v>
      </c>
      <c r="G60" s="70" t="s">
        <v>135</v>
      </c>
      <c r="H60" s="70">
        <v>2900197</v>
      </c>
      <c r="I60" s="104">
        <v>6500</v>
      </c>
      <c r="J60" s="104">
        <v>5250</v>
      </c>
      <c r="K60" s="105"/>
      <c r="L60" s="105"/>
      <c r="M60" s="105"/>
      <c r="N60" s="73">
        <v>2500</v>
      </c>
      <c r="O60" s="144">
        <v>0</v>
      </c>
      <c r="P60" s="186">
        <f t="shared" si="2"/>
        <v>11750</v>
      </c>
      <c r="Q60" s="66" t="s">
        <v>409</v>
      </c>
      <c r="R60" s="146"/>
      <c r="S60" s="69"/>
      <c r="U60" s="75"/>
    </row>
    <row r="61" spans="1:21" s="74" customFormat="1" x14ac:dyDescent="0.35">
      <c r="A61" s="1">
        <v>37</v>
      </c>
      <c r="B61" s="193" t="s">
        <v>412</v>
      </c>
      <c r="C61" s="194" t="s">
        <v>413</v>
      </c>
      <c r="D61" s="106"/>
      <c r="E61" s="107" t="s">
        <v>136</v>
      </c>
      <c r="F61" s="103" t="s">
        <v>137</v>
      </c>
      <c r="G61" s="70" t="s">
        <v>138</v>
      </c>
      <c r="H61" s="70">
        <v>2002948</v>
      </c>
      <c r="I61" s="104">
        <v>6500</v>
      </c>
      <c r="J61" s="104">
        <v>6250</v>
      </c>
      <c r="K61" s="105"/>
      <c r="L61" s="105"/>
      <c r="M61" s="105"/>
      <c r="N61" s="73">
        <v>2500</v>
      </c>
      <c r="O61" s="144">
        <v>0</v>
      </c>
      <c r="P61" s="129">
        <f t="shared" si="2"/>
        <v>12750</v>
      </c>
      <c r="Q61" s="66" t="s">
        <v>414</v>
      </c>
      <c r="R61" s="146"/>
      <c r="S61" s="69"/>
      <c r="U61" s="75"/>
    </row>
    <row r="62" spans="1:21" s="74" customFormat="1" x14ac:dyDescent="0.35">
      <c r="A62" s="1">
        <v>38</v>
      </c>
      <c r="B62" s="190" t="s">
        <v>415</v>
      </c>
      <c r="C62" s="66" t="s">
        <v>416</v>
      </c>
      <c r="D62" s="67" t="s">
        <v>45</v>
      </c>
      <c r="E62" s="102" t="s">
        <v>139</v>
      </c>
      <c r="F62" s="103" t="s">
        <v>140</v>
      </c>
      <c r="G62" s="70" t="s">
        <v>141</v>
      </c>
      <c r="H62" s="70">
        <v>1327177</v>
      </c>
      <c r="I62" s="104">
        <v>6500</v>
      </c>
      <c r="J62" s="104">
        <v>4250</v>
      </c>
      <c r="K62" s="105"/>
      <c r="L62" s="105"/>
      <c r="M62" s="105"/>
      <c r="N62" s="73">
        <v>2500</v>
      </c>
      <c r="O62" s="144">
        <v>0</v>
      </c>
      <c r="P62" s="186">
        <f t="shared" si="2"/>
        <v>10750</v>
      </c>
      <c r="Q62" s="66" t="s">
        <v>417</v>
      </c>
      <c r="R62" s="154"/>
      <c r="S62" s="69"/>
      <c r="U62" s="75"/>
    </row>
    <row r="63" spans="1:21" s="74" customFormat="1" x14ac:dyDescent="0.35">
      <c r="A63" s="1">
        <v>39</v>
      </c>
      <c r="B63" s="195" t="s">
        <v>418</v>
      </c>
      <c r="C63" s="66" t="s">
        <v>419</v>
      </c>
      <c r="D63" s="67" t="s">
        <v>142</v>
      </c>
      <c r="E63" s="102" t="s">
        <v>143</v>
      </c>
      <c r="F63" s="103" t="s">
        <v>144</v>
      </c>
      <c r="G63" s="70" t="s">
        <v>145</v>
      </c>
      <c r="H63" s="70">
        <v>2847356</v>
      </c>
      <c r="I63" s="104">
        <v>6500</v>
      </c>
      <c r="J63" s="104">
        <v>5250</v>
      </c>
      <c r="K63" s="105"/>
      <c r="L63" s="105"/>
      <c r="M63" s="105"/>
      <c r="N63" s="73">
        <v>2500</v>
      </c>
      <c r="O63" s="144">
        <v>0</v>
      </c>
      <c r="P63" s="186">
        <f t="shared" si="2"/>
        <v>11750</v>
      </c>
      <c r="Q63" s="66" t="s">
        <v>420</v>
      </c>
      <c r="R63" s="154">
        <v>0.15</v>
      </c>
      <c r="S63" s="69"/>
      <c r="U63" s="75"/>
    </row>
    <row r="64" spans="1:21" s="74" customFormat="1" x14ac:dyDescent="0.35">
      <c r="A64" s="1">
        <v>40</v>
      </c>
      <c r="B64" s="190" t="s">
        <v>421</v>
      </c>
      <c r="C64" s="66" t="s">
        <v>422</v>
      </c>
      <c r="D64" s="67" t="s">
        <v>79</v>
      </c>
      <c r="E64" s="102" t="s">
        <v>146</v>
      </c>
      <c r="F64" s="103" t="s">
        <v>147</v>
      </c>
      <c r="G64" s="70" t="s">
        <v>148</v>
      </c>
      <c r="H64" s="70">
        <v>2734113</v>
      </c>
      <c r="I64" s="104">
        <v>6500</v>
      </c>
      <c r="J64" s="104">
        <v>6250</v>
      </c>
      <c r="K64" s="105"/>
      <c r="L64" s="105"/>
      <c r="M64" s="105"/>
      <c r="N64" s="73">
        <v>2500</v>
      </c>
      <c r="O64" s="144">
        <v>0</v>
      </c>
      <c r="P64" s="129">
        <f t="shared" si="2"/>
        <v>12750</v>
      </c>
      <c r="Q64" s="66" t="s">
        <v>420</v>
      </c>
      <c r="R64" s="146"/>
      <c r="S64" s="69"/>
      <c r="U64" s="75"/>
    </row>
    <row r="65" spans="1:21" s="74" customFormat="1" x14ac:dyDescent="0.35">
      <c r="A65" s="1">
        <v>41</v>
      </c>
      <c r="B65" s="190" t="s">
        <v>423</v>
      </c>
      <c r="C65" s="66" t="s">
        <v>424</v>
      </c>
      <c r="D65" s="67" t="s">
        <v>56</v>
      </c>
      <c r="E65" s="66" t="s">
        <v>149</v>
      </c>
      <c r="F65" s="69" t="s">
        <v>150</v>
      </c>
      <c r="G65" s="70" t="s">
        <v>151</v>
      </c>
      <c r="H65" s="69">
        <v>1410053</v>
      </c>
      <c r="I65" s="76">
        <v>6500</v>
      </c>
      <c r="J65" s="76">
        <v>4250</v>
      </c>
      <c r="K65" s="73"/>
      <c r="L65" s="73"/>
      <c r="M65" s="73"/>
      <c r="N65" s="73">
        <v>2500</v>
      </c>
      <c r="O65" s="144">
        <v>0</v>
      </c>
      <c r="P65" s="186">
        <f t="shared" si="2"/>
        <v>10750</v>
      </c>
      <c r="Q65" s="66" t="s">
        <v>425</v>
      </c>
      <c r="R65" s="146"/>
      <c r="S65" s="69"/>
      <c r="U65" s="75"/>
    </row>
    <row r="66" spans="1:21" s="74" customFormat="1" ht="26" x14ac:dyDescent="0.35">
      <c r="A66" s="1">
        <v>42</v>
      </c>
      <c r="B66" s="190" t="s">
        <v>152</v>
      </c>
      <c r="C66" s="66" t="s">
        <v>426</v>
      </c>
      <c r="D66" s="67" t="s">
        <v>153</v>
      </c>
      <c r="E66" s="84" t="s">
        <v>152</v>
      </c>
      <c r="F66" s="37" t="s">
        <v>154</v>
      </c>
      <c r="G66" s="38" t="s">
        <v>155</v>
      </c>
      <c r="H66" s="37">
        <v>2110665</v>
      </c>
      <c r="I66" s="40">
        <v>6500</v>
      </c>
      <c r="J66" s="40">
        <v>4750</v>
      </c>
      <c r="K66" s="73"/>
      <c r="L66" s="73"/>
      <c r="M66" s="73"/>
      <c r="N66" s="73">
        <v>2500</v>
      </c>
      <c r="O66" s="196">
        <v>500</v>
      </c>
      <c r="P66" s="162">
        <f t="shared" si="2"/>
        <v>10750</v>
      </c>
      <c r="Q66" s="169" t="s">
        <v>427</v>
      </c>
      <c r="R66" s="167"/>
      <c r="S66" s="165" t="s">
        <v>428</v>
      </c>
      <c r="U66" s="75"/>
    </row>
    <row r="67" spans="1:21" s="74" customFormat="1" x14ac:dyDescent="0.35">
      <c r="A67" s="1">
        <v>43</v>
      </c>
      <c r="B67" s="190" t="s">
        <v>429</v>
      </c>
      <c r="C67" s="66">
        <v>10110071377</v>
      </c>
      <c r="D67" s="67" t="s">
        <v>10</v>
      </c>
      <c r="E67" s="84" t="s">
        <v>156</v>
      </c>
      <c r="F67" s="37" t="s">
        <v>157</v>
      </c>
      <c r="G67" s="70" t="s">
        <v>158</v>
      </c>
      <c r="H67" s="37">
        <v>2652479</v>
      </c>
      <c r="I67" s="40">
        <v>6500</v>
      </c>
      <c r="J67" s="40">
        <v>4250</v>
      </c>
      <c r="K67" s="73"/>
      <c r="L67" s="73"/>
      <c r="M67" s="73"/>
      <c r="N67" s="73">
        <v>2500</v>
      </c>
      <c r="O67" s="144">
        <v>0</v>
      </c>
      <c r="P67" s="186">
        <f t="shared" si="2"/>
        <v>10750</v>
      </c>
      <c r="Q67" s="66" t="s">
        <v>427</v>
      </c>
      <c r="R67" s="146"/>
      <c r="S67" s="69"/>
      <c r="U67" s="75"/>
    </row>
    <row r="68" spans="1:21" s="74" customFormat="1" x14ac:dyDescent="0.35">
      <c r="A68" s="1">
        <v>44</v>
      </c>
      <c r="B68" s="190" t="s">
        <v>430</v>
      </c>
      <c r="C68" s="66" t="s">
        <v>431</v>
      </c>
      <c r="D68" s="67" t="s">
        <v>159</v>
      </c>
      <c r="E68" s="84" t="s">
        <v>160</v>
      </c>
      <c r="F68" s="37" t="s">
        <v>161</v>
      </c>
      <c r="G68" s="70" t="s">
        <v>162</v>
      </c>
      <c r="H68" s="37">
        <v>2003192</v>
      </c>
      <c r="I68" s="40">
        <v>6500</v>
      </c>
      <c r="J68" s="40">
        <v>4250</v>
      </c>
      <c r="K68" s="73"/>
      <c r="L68" s="73"/>
      <c r="M68" s="73"/>
      <c r="N68" s="73">
        <v>0</v>
      </c>
      <c r="O68" s="144">
        <v>0</v>
      </c>
      <c r="P68" s="186">
        <f t="shared" si="2"/>
        <v>10750</v>
      </c>
      <c r="Q68" s="66" t="s">
        <v>432</v>
      </c>
      <c r="R68" s="146"/>
      <c r="S68" s="69"/>
      <c r="U68" s="75"/>
    </row>
    <row r="69" spans="1:21" s="74" customFormat="1" x14ac:dyDescent="0.35">
      <c r="A69" s="1">
        <v>45</v>
      </c>
      <c r="B69" s="190" t="s">
        <v>433</v>
      </c>
      <c r="C69" s="66" t="s">
        <v>434</v>
      </c>
      <c r="D69" s="67" t="s">
        <v>113</v>
      </c>
      <c r="E69" s="84" t="s">
        <v>163</v>
      </c>
      <c r="F69" s="37" t="s">
        <v>164</v>
      </c>
      <c r="G69" s="38" t="s">
        <v>165</v>
      </c>
      <c r="H69" s="37">
        <v>3248542</v>
      </c>
      <c r="I69" s="40">
        <v>6500</v>
      </c>
      <c r="J69" s="40">
        <v>4250</v>
      </c>
      <c r="K69" s="73"/>
      <c r="L69" s="73"/>
      <c r="M69" s="73"/>
      <c r="N69" s="73">
        <v>2500</v>
      </c>
      <c r="O69" s="144">
        <v>0</v>
      </c>
      <c r="P69" s="186">
        <f t="shared" si="2"/>
        <v>10750</v>
      </c>
      <c r="Q69" s="66" t="s">
        <v>435</v>
      </c>
      <c r="R69" s="146"/>
      <c r="S69" s="69"/>
      <c r="U69" s="75"/>
    </row>
    <row r="70" spans="1:21" s="74" customFormat="1" x14ac:dyDescent="0.35">
      <c r="A70" s="1">
        <v>46</v>
      </c>
      <c r="B70" s="190" t="s">
        <v>436</v>
      </c>
      <c r="C70" s="66" t="s">
        <v>437</v>
      </c>
      <c r="D70" s="67" t="s">
        <v>166</v>
      </c>
      <c r="E70" s="84" t="s">
        <v>167</v>
      </c>
      <c r="F70" s="37" t="s">
        <v>168</v>
      </c>
      <c r="G70" s="38" t="s">
        <v>169</v>
      </c>
      <c r="H70" s="37">
        <v>3181505</v>
      </c>
      <c r="I70" s="40">
        <v>6500</v>
      </c>
      <c r="J70" s="40">
        <v>5250</v>
      </c>
      <c r="K70" s="73"/>
      <c r="L70" s="73"/>
      <c r="M70" s="73"/>
      <c r="N70" s="73">
        <v>2500</v>
      </c>
      <c r="O70" s="144">
        <v>0</v>
      </c>
      <c r="P70" s="186">
        <f t="shared" si="2"/>
        <v>11750</v>
      </c>
      <c r="Q70" s="66" t="s">
        <v>438</v>
      </c>
      <c r="R70" s="146"/>
      <c r="S70" s="69"/>
      <c r="U70" s="75"/>
    </row>
    <row r="71" spans="1:21" s="74" customFormat="1" x14ac:dyDescent="0.35">
      <c r="A71" s="1">
        <v>47</v>
      </c>
      <c r="B71" s="190" t="s">
        <v>439</v>
      </c>
      <c r="C71" s="66" t="s">
        <v>440</v>
      </c>
      <c r="D71" s="67" t="s">
        <v>142</v>
      </c>
      <c r="E71" s="84" t="s">
        <v>170</v>
      </c>
      <c r="F71" s="37" t="s">
        <v>171</v>
      </c>
      <c r="G71" s="112" t="s">
        <v>172</v>
      </c>
      <c r="H71" s="37">
        <v>3210067</v>
      </c>
      <c r="I71" s="40">
        <v>6500</v>
      </c>
      <c r="J71" s="40">
        <v>4250</v>
      </c>
      <c r="K71" s="73"/>
      <c r="L71" s="73"/>
      <c r="M71" s="73"/>
      <c r="N71" s="73">
        <v>2500</v>
      </c>
      <c r="O71" s="144">
        <v>0</v>
      </c>
      <c r="P71" s="186">
        <f t="shared" si="2"/>
        <v>10750</v>
      </c>
      <c r="Q71" s="66" t="s">
        <v>441</v>
      </c>
      <c r="R71" s="146"/>
      <c r="S71" s="69"/>
      <c r="U71" s="75"/>
    </row>
    <row r="72" spans="1:21" s="74" customFormat="1" x14ac:dyDescent="0.35">
      <c r="A72" s="1">
        <v>48</v>
      </c>
      <c r="B72" s="190" t="s">
        <v>442</v>
      </c>
      <c r="C72" s="66" t="s">
        <v>443</v>
      </c>
      <c r="D72" s="67" t="s">
        <v>79</v>
      </c>
      <c r="E72" s="84" t="s">
        <v>173</v>
      </c>
      <c r="F72" s="37" t="s">
        <v>174</v>
      </c>
      <c r="G72" s="38">
        <v>9504135233080</v>
      </c>
      <c r="H72" s="37">
        <v>2807179</v>
      </c>
      <c r="I72" s="40">
        <v>6500</v>
      </c>
      <c r="J72" s="40">
        <v>6250</v>
      </c>
      <c r="K72" s="73"/>
      <c r="L72" s="73"/>
      <c r="M72" s="73"/>
      <c r="N72" s="73">
        <v>2500</v>
      </c>
      <c r="O72" s="144">
        <v>0</v>
      </c>
      <c r="P72" s="186">
        <f t="shared" si="2"/>
        <v>12750</v>
      </c>
      <c r="Q72" s="69" t="s">
        <v>444</v>
      </c>
      <c r="R72" s="130"/>
      <c r="S72" s="69"/>
      <c r="U72" s="75"/>
    </row>
    <row r="73" spans="1:21" s="74" customFormat="1" x14ac:dyDescent="0.35">
      <c r="A73" s="1">
        <v>49</v>
      </c>
      <c r="B73" s="190" t="s">
        <v>445</v>
      </c>
      <c r="C73" s="66" t="s">
        <v>446</v>
      </c>
      <c r="D73" s="67" t="s">
        <v>166</v>
      </c>
      <c r="E73" s="84" t="s">
        <v>175</v>
      </c>
      <c r="F73" s="37" t="s">
        <v>176</v>
      </c>
      <c r="G73" s="38" t="s">
        <v>177</v>
      </c>
      <c r="H73" s="37">
        <v>2501777</v>
      </c>
      <c r="I73" s="40">
        <v>6500</v>
      </c>
      <c r="J73" s="40">
        <v>5250</v>
      </c>
      <c r="K73" s="73"/>
      <c r="L73" s="73"/>
      <c r="M73" s="73"/>
      <c r="N73" s="73">
        <v>2500</v>
      </c>
      <c r="O73" s="144">
        <v>0</v>
      </c>
      <c r="P73" s="186">
        <f t="shared" si="2"/>
        <v>11750</v>
      </c>
      <c r="Q73" s="69" t="s">
        <v>444</v>
      </c>
      <c r="R73" s="130"/>
      <c r="S73" s="69"/>
      <c r="U73" s="75"/>
    </row>
    <row r="74" spans="1:21" s="74" customFormat="1" x14ac:dyDescent="0.35">
      <c r="A74" s="1">
        <v>50</v>
      </c>
      <c r="B74" s="190" t="s">
        <v>447</v>
      </c>
      <c r="C74" s="66" t="s">
        <v>448</v>
      </c>
      <c r="D74" s="67" t="s">
        <v>142</v>
      </c>
      <c r="E74" s="84" t="s">
        <v>178</v>
      </c>
      <c r="F74" s="37" t="s">
        <v>179</v>
      </c>
      <c r="G74" s="38" t="s">
        <v>180</v>
      </c>
      <c r="H74" s="37">
        <v>2121020</v>
      </c>
      <c r="I74" s="40">
        <v>6500</v>
      </c>
      <c r="J74" s="40">
        <v>4250</v>
      </c>
      <c r="K74" s="73"/>
      <c r="L74" s="73"/>
      <c r="M74" s="73"/>
      <c r="N74" s="73">
        <v>2500</v>
      </c>
      <c r="O74" s="144">
        <v>0</v>
      </c>
      <c r="P74" s="186">
        <f t="shared" si="2"/>
        <v>10750</v>
      </c>
      <c r="Q74" s="69" t="s">
        <v>449</v>
      </c>
      <c r="R74" s="155">
        <v>0.15</v>
      </c>
      <c r="S74" s="66"/>
      <c r="U74" s="75"/>
    </row>
    <row r="75" spans="1:21" s="74" customFormat="1" x14ac:dyDescent="0.35">
      <c r="A75" s="1">
        <v>51</v>
      </c>
      <c r="B75" s="190" t="s">
        <v>450</v>
      </c>
      <c r="C75" s="66" t="s">
        <v>451</v>
      </c>
      <c r="D75" s="67" t="s">
        <v>79</v>
      </c>
      <c r="E75" s="84" t="s">
        <v>181</v>
      </c>
      <c r="F75" s="37" t="s">
        <v>182</v>
      </c>
      <c r="G75" s="38" t="s">
        <v>183</v>
      </c>
      <c r="H75" s="37">
        <v>1760406</v>
      </c>
      <c r="I75" s="40">
        <v>6500</v>
      </c>
      <c r="J75" s="40">
        <v>6250</v>
      </c>
      <c r="K75" s="73"/>
      <c r="L75" s="73"/>
      <c r="M75" s="73"/>
      <c r="N75" s="73">
        <v>2500</v>
      </c>
      <c r="O75" s="144">
        <v>0</v>
      </c>
      <c r="P75" s="186">
        <f t="shared" si="2"/>
        <v>12750</v>
      </c>
      <c r="Q75" s="69" t="s">
        <v>452</v>
      </c>
      <c r="R75" s="155">
        <v>0.5</v>
      </c>
      <c r="S75" s="69"/>
      <c r="U75" s="75"/>
    </row>
    <row r="76" spans="1:21" s="74" customFormat="1" x14ac:dyDescent="0.35">
      <c r="A76" s="1">
        <v>52</v>
      </c>
      <c r="B76" s="193" t="s">
        <v>184</v>
      </c>
      <c r="C76" s="194" t="s">
        <v>453</v>
      </c>
      <c r="D76" s="106" t="s">
        <v>33</v>
      </c>
      <c r="E76" s="113" t="s">
        <v>184</v>
      </c>
      <c r="F76" s="37" t="s">
        <v>185</v>
      </c>
      <c r="G76" s="38" t="s">
        <v>186</v>
      </c>
      <c r="H76" s="37">
        <v>1925801</v>
      </c>
      <c r="I76" s="40">
        <v>6500</v>
      </c>
      <c r="J76" s="40">
        <v>4250</v>
      </c>
      <c r="K76" s="73"/>
      <c r="L76" s="73"/>
      <c r="M76" s="73"/>
      <c r="N76" s="73">
        <v>2500</v>
      </c>
      <c r="O76" s="144">
        <v>0</v>
      </c>
      <c r="P76" s="186">
        <f t="shared" si="2"/>
        <v>10750</v>
      </c>
      <c r="Q76" s="69" t="s">
        <v>452</v>
      </c>
      <c r="R76" s="130"/>
      <c r="S76" s="69"/>
      <c r="U76" s="75"/>
    </row>
    <row r="77" spans="1:21" s="74" customFormat="1" x14ac:dyDescent="0.35">
      <c r="A77" s="1">
        <v>53</v>
      </c>
      <c r="B77" s="190" t="s">
        <v>454</v>
      </c>
      <c r="C77" s="66" t="s">
        <v>455</v>
      </c>
      <c r="D77" s="67" t="s">
        <v>187</v>
      </c>
      <c r="E77" s="84" t="s">
        <v>188</v>
      </c>
      <c r="F77" s="37" t="s">
        <v>189</v>
      </c>
      <c r="G77" s="38" t="s">
        <v>190</v>
      </c>
      <c r="H77" s="37">
        <v>2688427</v>
      </c>
      <c r="I77" s="40">
        <v>6500</v>
      </c>
      <c r="J77" s="40">
        <v>3750</v>
      </c>
      <c r="K77" s="73"/>
      <c r="L77" s="73"/>
      <c r="M77" s="73"/>
      <c r="N77" s="73">
        <v>2500</v>
      </c>
      <c r="O77" s="144">
        <v>0</v>
      </c>
      <c r="P77" s="186">
        <f t="shared" si="2"/>
        <v>10250</v>
      </c>
      <c r="Q77" s="69" t="s">
        <v>456</v>
      </c>
      <c r="R77" s="130"/>
      <c r="S77" s="66"/>
      <c r="U77" s="75"/>
    </row>
    <row r="78" spans="1:21" s="74" customFormat="1" x14ac:dyDescent="0.35">
      <c r="A78" s="1">
        <v>54</v>
      </c>
      <c r="B78" s="190" t="s">
        <v>457</v>
      </c>
      <c r="C78" s="66" t="s">
        <v>458</v>
      </c>
      <c r="D78" s="67" t="s">
        <v>191</v>
      </c>
      <c r="E78" s="84" t="s">
        <v>192</v>
      </c>
      <c r="F78" s="37" t="s">
        <v>193</v>
      </c>
      <c r="G78" s="38" t="s">
        <v>194</v>
      </c>
      <c r="H78" s="37">
        <v>2113976</v>
      </c>
      <c r="I78" s="40">
        <v>6500</v>
      </c>
      <c r="J78" s="40">
        <v>3750</v>
      </c>
      <c r="K78" s="73"/>
      <c r="L78" s="73"/>
      <c r="M78" s="73"/>
      <c r="N78" s="73">
        <v>2500</v>
      </c>
      <c r="O78" s="144">
        <v>0</v>
      </c>
      <c r="P78" s="186">
        <f t="shared" si="2"/>
        <v>10250</v>
      </c>
      <c r="Q78" s="69" t="s">
        <v>459</v>
      </c>
      <c r="R78" s="130"/>
      <c r="S78" s="69"/>
      <c r="U78" s="75"/>
    </row>
    <row r="79" spans="1:21" s="74" customFormat="1" ht="26" x14ac:dyDescent="0.35">
      <c r="A79" s="1">
        <v>55</v>
      </c>
      <c r="B79" s="190" t="s">
        <v>460</v>
      </c>
      <c r="C79" s="66" t="s">
        <v>461</v>
      </c>
      <c r="D79" s="67" t="s">
        <v>79</v>
      </c>
      <c r="E79" s="84" t="s">
        <v>195</v>
      </c>
      <c r="F79" s="37" t="s">
        <v>196</v>
      </c>
      <c r="G79" s="38" t="s">
        <v>197</v>
      </c>
      <c r="H79" s="37">
        <v>2997686</v>
      </c>
      <c r="I79" s="40">
        <v>0</v>
      </c>
      <c r="J79" s="40">
        <v>0</v>
      </c>
      <c r="K79" s="73"/>
      <c r="L79" s="73"/>
      <c r="M79" s="73"/>
      <c r="N79" s="73">
        <v>2500</v>
      </c>
      <c r="O79" s="144">
        <v>0</v>
      </c>
      <c r="P79" s="162">
        <v>2177.41</v>
      </c>
      <c r="Q79" s="165" t="s">
        <v>456</v>
      </c>
      <c r="R79" s="170"/>
      <c r="S79" s="165" t="s">
        <v>462</v>
      </c>
      <c r="U79" s="75"/>
    </row>
    <row r="80" spans="1:21" s="74" customFormat="1" x14ac:dyDescent="0.35">
      <c r="A80" s="1">
        <v>56</v>
      </c>
      <c r="B80" s="190" t="s">
        <v>198</v>
      </c>
      <c r="C80" s="66" t="s">
        <v>463</v>
      </c>
      <c r="D80" s="67" t="s">
        <v>199</v>
      </c>
      <c r="E80" s="84" t="s">
        <v>198</v>
      </c>
      <c r="F80" s="37" t="s">
        <v>200</v>
      </c>
      <c r="G80" s="38" t="s">
        <v>201</v>
      </c>
      <c r="H80" s="37">
        <v>2869124</v>
      </c>
      <c r="I80" s="40">
        <v>6500</v>
      </c>
      <c r="J80" s="40">
        <v>3750</v>
      </c>
      <c r="K80" s="73"/>
      <c r="L80" s="73"/>
      <c r="M80" s="73"/>
      <c r="N80" s="73">
        <v>2500</v>
      </c>
      <c r="O80" s="144">
        <v>0</v>
      </c>
      <c r="P80" s="129">
        <f t="shared" si="2"/>
        <v>10250</v>
      </c>
      <c r="Q80" s="69" t="s">
        <v>459</v>
      </c>
      <c r="R80" s="130"/>
      <c r="S80" s="69"/>
      <c r="U80" s="75"/>
    </row>
    <row r="81" spans="1:21" s="74" customFormat="1" x14ac:dyDescent="0.35">
      <c r="A81" s="1">
        <v>57</v>
      </c>
      <c r="B81" s="190" t="s">
        <v>202</v>
      </c>
      <c r="C81" s="66" t="s">
        <v>464</v>
      </c>
      <c r="D81" s="67" t="s">
        <v>203</v>
      </c>
      <c r="E81" s="84" t="s">
        <v>202</v>
      </c>
      <c r="F81" s="37" t="s">
        <v>204</v>
      </c>
      <c r="G81" s="38" t="s">
        <v>205</v>
      </c>
      <c r="H81" s="37">
        <v>2449277</v>
      </c>
      <c r="I81" s="40">
        <v>6500</v>
      </c>
      <c r="J81" s="40">
        <v>3750</v>
      </c>
      <c r="K81" s="73"/>
      <c r="L81" s="73"/>
      <c r="M81" s="73"/>
      <c r="N81" s="73">
        <v>2500</v>
      </c>
      <c r="O81" s="144">
        <v>0</v>
      </c>
      <c r="P81" s="186">
        <f t="shared" si="2"/>
        <v>10250</v>
      </c>
      <c r="Q81" s="69" t="s">
        <v>459</v>
      </c>
      <c r="R81" s="155">
        <v>0.15</v>
      </c>
      <c r="S81" s="66"/>
      <c r="U81" s="75"/>
    </row>
    <row r="82" spans="1:21" s="74" customFormat="1" x14ac:dyDescent="0.35">
      <c r="A82" s="1">
        <v>58</v>
      </c>
      <c r="B82" s="190" t="s">
        <v>465</v>
      </c>
      <c r="C82" s="66" t="s">
        <v>466</v>
      </c>
      <c r="D82" s="67" t="s">
        <v>206</v>
      </c>
      <c r="E82" s="84" t="s">
        <v>207</v>
      </c>
      <c r="F82" s="37" t="s">
        <v>208</v>
      </c>
      <c r="G82" s="38" t="s">
        <v>209</v>
      </c>
      <c r="H82" s="37">
        <v>2340229</v>
      </c>
      <c r="I82" s="40">
        <v>6500</v>
      </c>
      <c r="J82" s="40">
        <v>3750</v>
      </c>
      <c r="K82" s="73"/>
      <c r="L82" s="73"/>
      <c r="M82" s="73"/>
      <c r="N82" s="73">
        <v>2500</v>
      </c>
      <c r="O82" s="73">
        <v>0</v>
      </c>
      <c r="P82" s="42">
        <f t="shared" si="2"/>
        <v>10250</v>
      </c>
      <c r="Q82" s="69" t="s">
        <v>467</v>
      </c>
      <c r="R82" s="130"/>
      <c r="S82" s="69"/>
      <c r="U82" s="75"/>
    </row>
    <row r="83" spans="1:21" s="74" customFormat="1" x14ac:dyDescent="0.35">
      <c r="A83" s="1">
        <v>59</v>
      </c>
      <c r="B83" s="190" t="s">
        <v>210</v>
      </c>
      <c r="C83" s="66" t="s">
        <v>468</v>
      </c>
      <c r="D83" s="67" t="s">
        <v>45</v>
      </c>
      <c r="E83" s="114" t="s">
        <v>210</v>
      </c>
      <c r="F83" s="37" t="s">
        <v>211</v>
      </c>
      <c r="G83" s="38" t="s">
        <v>212</v>
      </c>
      <c r="H83" s="37">
        <v>810265</v>
      </c>
      <c r="I83" s="40">
        <v>6500</v>
      </c>
      <c r="J83" s="40">
        <v>3750</v>
      </c>
      <c r="K83" s="73"/>
      <c r="L83" s="73"/>
      <c r="M83" s="73"/>
      <c r="N83" s="73">
        <v>2500</v>
      </c>
      <c r="O83" s="73">
        <v>0</v>
      </c>
      <c r="P83" s="42">
        <f t="shared" si="2"/>
        <v>10250</v>
      </c>
      <c r="Q83" s="69" t="s">
        <v>467</v>
      </c>
      <c r="R83" s="155">
        <v>1</v>
      </c>
      <c r="S83" s="69"/>
      <c r="U83" s="75"/>
    </row>
    <row r="84" spans="1:21" s="74" customFormat="1" x14ac:dyDescent="0.35">
      <c r="A84" s="1">
        <v>60</v>
      </c>
      <c r="B84" s="190" t="s">
        <v>213</v>
      </c>
      <c r="C84" s="66" t="s">
        <v>469</v>
      </c>
      <c r="D84" s="67" t="s">
        <v>214</v>
      </c>
      <c r="E84" s="114" t="s">
        <v>213</v>
      </c>
      <c r="F84" s="37" t="s">
        <v>215</v>
      </c>
      <c r="G84" s="38" t="s">
        <v>216</v>
      </c>
      <c r="H84" s="37">
        <v>2036144</v>
      </c>
      <c r="I84" s="40">
        <v>6500</v>
      </c>
      <c r="J84" s="40">
        <v>3750</v>
      </c>
      <c r="K84" s="73"/>
      <c r="L84" s="73"/>
      <c r="M84" s="73"/>
      <c r="N84" s="73">
        <v>2500</v>
      </c>
      <c r="O84" s="73">
        <v>0</v>
      </c>
      <c r="P84" s="42">
        <f t="shared" si="2"/>
        <v>10250</v>
      </c>
      <c r="Q84" s="69" t="s">
        <v>470</v>
      </c>
      <c r="R84" s="130"/>
      <c r="S84" s="69"/>
      <c r="U84" s="75"/>
    </row>
    <row r="85" spans="1:21" s="74" customFormat="1" x14ac:dyDescent="0.35">
      <c r="A85" s="1">
        <v>61</v>
      </c>
      <c r="B85" s="187" t="s">
        <v>471</v>
      </c>
      <c r="C85" s="150" t="s">
        <v>472</v>
      </c>
      <c r="D85" s="35" t="s">
        <v>56</v>
      </c>
      <c r="E85" s="114" t="s">
        <v>217</v>
      </c>
      <c r="F85" s="37" t="s">
        <v>218</v>
      </c>
      <c r="G85" s="38" t="s">
        <v>219</v>
      </c>
      <c r="H85" s="37">
        <v>1744364</v>
      </c>
      <c r="I85" s="40">
        <v>6500</v>
      </c>
      <c r="J85" s="40">
        <v>3750</v>
      </c>
      <c r="K85" s="41"/>
      <c r="L85" s="41"/>
      <c r="M85" s="41"/>
      <c r="N85" s="41">
        <v>2500</v>
      </c>
      <c r="O85" s="41">
        <v>0</v>
      </c>
      <c r="P85" s="42">
        <f t="shared" si="2"/>
        <v>10250</v>
      </c>
      <c r="Q85" s="150" t="s">
        <v>473</v>
      </c>
      <c r="R85" s="146"/>
      <c r="S85" s="50"/>
      <c r="U85" s="75"/>
    </row>
    <row r="86" spans="1:21" x14ac:dyDescent="0.35">
      <c r="A86" s="1">
        <v>62</v>
      </c>
      <c r="B86" s="197" t="s">
        <v>474</v>
      </c>
      <c r="C86" s="84" t="s">
        <v>475</v>
      </c>
      <c r="D86" s="115" t="s">
        <v>220</v>
      </c>
      <c r="E86" s="116" t="s">
        <v>221</v>
      </c>
      <c r="F86" s="37" t="s">
        <v>222</v>
      </c>
      <c r="G86" s="38" t="s">
        <v>223</v>
      </c>
      <c r="H86" s="117" t="s">
        <v>224</v>
      </c>
      <c r="I86" s="40">
        <v>6500</v>
      </c>
      <c r="J86" s="40">
        <v>3750</v>
      </c>
      <c r="K86" s="73"/>
      <c r="L86" s="73"/>
      <c r="M86" s="73"/>
      <c r="N86" s="73">
        <v>2500</v>
      </c>
      <c r="O86" s="55">
        <v>0</v>
      </c>
      <c r="P86" s="42">
        <f t="shared" si="2"/>
        <v>10250</v>
      </c>
      <c r="Q86" s="69" t="s">
        <v>476</v>
      </c>
      <c r="R86" s="130"/>
      <c r="S86" s="50"/>
    </row>
    <row r="87" spans="1:21" x14ac:dyDescent="0.35">
      <c r="A87" s="1">
        <v>63</v>
      </c>
      <c r="B87" s="197" t="s">
        <v>477</v>
      </c>
      <c r="C87" s="84" t="s">
        <v>478</v>
      </c>
      <c r="D87" s="115" t="s">
        <v>225</v>
      </c>
      <c r="E87" s="116" t="s">
        <v>226</v>
      </c>
      <c r="F87" s="37" t="s">
        <v>227</v>
      </c>
      <c r="G87" s="38" t="s">
        <v>228</v>
      </c>
      <c r="H87" s="117" t="s">
        <v>229</v>
      </c>
      <c r="I87" s="40">
        <v>6500</v>
      </c>
      <c r="J87" s="40">
        <v>3750</v>
      </c>
      <c r="K87" s="73"/>
      <c r="L87" s="73"/>
      <c r="M87" s="73"/>
      <c r="N87" s="73">
        <v>2500</v>
      </c>
      <c r="O87" s="54">
        <v>0</v>
      </c>
      <c r="P87" s="54">
        <f t="shared" si="2"/>
        <v>10250</v>
      </c>
      <c r="Q87" s="69" t="s">
        <v>467</v>
      </c>
      <c r="R87" s="130"/>
      <c r="S87" s="50"/>
    </row>
    <row r="88" spans="1:21" x14ac:dyDescent="0.35">
      <c r="A88" s="1">
        <v>64</v>
      </c>
      <c r="B88" s="187" t="s">
        <v>230</v>
      </c>
      <c r="C88" s="150" t="s">
        <v>479</v>
      </c>
      <c r="D88" s="35" t="s">
        <v>45</v>
      </c>
      <c r="E88" s="116" t="s">
        <v>230</v>
      </c>
      <c r="F88" s="50" t="s">
        <v>231</v>
      </c>
      <c r="G88" s="51" t="s">
        <v>232</v>
      </c>
      <c r="H88" s="118" t="s">
        <v>233</v>
      </c>
      <c r="I88" s="53">
        <v>6500</v>
      </c>
      <c r="J88" s="53">
        <v>3750</v>
      </c>
      <c r="K88" s="54"/>
      <c r="L88" s="54"/>
      <c r="M88" s="54"/>
      <c r="N88" s="54">
        <v>2500</v>
      </c>
      <c r="O88" s="54">
        <v>0</v>
      </c>
      <c r="P88" s="55">
        <f t="shared" si="2"/>
        <v>10250</v>
      </c>
      <c r="Q88" s="55" t="s">
        <v>480</v>
      </c>
      <c r="R88" s="198"/>
      <c r="S88" s="50"/>
    </row>
    <row r="89" spans="1:21" x14ac:dyDescent="0.35">
      <c r="A89" s="1">
        <v>65</v>
      </c>
      <c r="B89" s="197" t="s">
        <v>234</v>
      </c>
      <c r="C89" s="84" t="s">
        <v>481</v>
      </c>
      <c r="D89" s="115" t="s">
        <v>56</v>
      </c>
      <c r="E89" s="119" t="s">
        <v>234</v>
      </c>
      <c r="F89" s="37" t="s">
        <v>235</v>
      </c>
      <c r="G89" s="38">
        <v>8904035464085</v>
      </c>
      <c r="H89" s="117" t="s">
        <v>236</v>
      </c>
      <c r="I89" s="40">
        <v>6500</v>
      </c>
      <c r="J89" s="40">
        <v>3750</v>
      </c>
      <c r="K89" s="73"/>
      <c r="L89" s="73"/>
      <c r="M89" s="73"/>
      <c r="N89" s="73">
        <v>2500</v>
      </c>
      <c r="O89" s="54">
        <v>0</v>
      </c>
      <c r="P89" s="55">
        <f t="shared" si="2"/>
        <v>10250</v>
      </c>
      <c r="Q89" s="69" t="s">
        <v>476</v>
      </c>
      <c r="R89" s="130"/>
      <c r="S89" s="50"/>
    </row>
    <row r="90" spans="1:21" x14ac:dyDescent="0.35">
      <c r="A90" s="1">
        <v>66</v>
      </c>
      <c r="B90" s="199" t="s">
        <v>482</v>
      </c>
      <c r="C90" s="108" t="s">
        <v>483</v>
      </c>
      <c r="D90" s="120" t="s">
        <v>79</v>
      </c>
      <c r="E90" s="121" t="s">
        <v>237</v>
      </c>
      <c r="F90" s="109" t="s">
        <v>238</v>
      </c>
      <c r="G90" s="122" t="s">
        <v>239</v>
      </c>
      <c r="H90" s="123" t="s">
        <v>240</v>
      </c>
      <c r="I90" s="110">
        <v>6500</v>
      </c>
      <c r="J90" s="110">
        <v>4750</v>
      </c>
      <c r="K90" s="111"/>
      <c r="L90" s="111"/>
      <c r="M90" s="111"/>
      <c r="N90" s="111">
        <v>2500</v>
      </c>
      <c r="O90" s="156">
        <v>0</v>
      </c>
      <c r="P90" s="200">
        <f t="shared" si="2"/>
        <v>11250</v>
      </c>
      <c r="Q90" s="157" t="s">
        <v>476</v>
      </c>
      <c r="R90" s="158"/>
      <c r="S90" s="69"/>
    </row>
    <row r="91" spans="1:21" x14ac:dyDescent="0.35">
      <c r="A91" s="1">
        <v>67</v>
      </c>
      <c r="B91" s="187" t="s">
        <v>241</v>
      </c>
      <c r="C91" s="150" t="s">
        <v>484</v>
      </c>
      <c r="D91" s="35" t="s">
        <v>4</v>
      </c>
      <c r="E91" s="116" t="s">
        <v>241</v>
      </c>
      <c r="F91" s="50" t="s">
        <v>242</v>
      </c>
      <c r="G91" s="51" t="s">
        <v>243</v>
      </c>
      <c r="H91" s="118" t="s">
        <v>244</v>
      </c>
      <c r="I91" s="53">
        <v>6500</v>
      </c>
      <c r="J91" s="53">
        <v>3750</v>
      </c>
      <c r="K91" s="54"/>
      <c r="L91" s="54"/>
      <c r="M91" s="54"/>
      <c r="N91" s="54">
        <v>2500</v>
      </c>
      <c r="O91" s="54">
        <v>0</v>
      </c>
      <c r="P91" s="55">
        <f t="shared" si="2"/>
        <v>10250</v>
      </c>
      <c r="Q91" s="55" t="s">
        <v>485</v>
      </c>
      <c r="R91" s="198"/>
      <c r="S91" s="50"/>
    </row>
    <row r="92" spans="1:21" ht="26" x14ac:dyDescent="0.35">
      <c r="A92" s="1">
        <v>68</v>
      </c>
      <c r="B92" s="187" t="s">
        <v>486</v>
      </c>
      <c r="C92" s="187" t="s">
        <v>487</v>
      </c>
      <c r="D92" s="124" t="s">
        <v>245</v>
      </c>
      <c r="E92" s="116" t="s">
        <v>246</v>
      </c>
      <c r="F92" s="50" t="s">
        <v>247</v>
      </c>
      <c r="G92" s="51" t="s">
        <v>248</v>
      </c>
      <c r="H92" s="50">
        <v>1529119</v>
      </c>
      <c r="I92" s="53">
        <v>6500</v>
      </c>
      <c r="J92" s="53">
        <v>3750</v>
      </c>
      <c r="K92" s="54"/>
      <c r="L92" s="54"/>
      <c r="M92" s="54"/>
      <c r="N92" s="54">
        <v>2500</v>
      </c>
      <c r="O92" s="171">
        <v>600</v>
      </c>
      <c r="P92" s="171">
        <f>I92+J92-L92-O92+M92</f>
        <v>9650</v>
      </c>
      <c r="Q92" s="168" t="s">
        <v>473</v>
      </c>
      <c r="R92" s="167"/>
      <c r="S92" s="164" t="s">
        <v>488</v>
      </c>
    </row>
    <row r="93" spans="1:21" x14ac:dyDescent="0.35">
      <c r="A93" s="1">
        <v>69</v>
      </c>
      <c r="B93" s="197" t="s">
        <v>489</v>
      </c>
      <c r="C93" s="84" t="s">
        <v>490</v>
      </c>
      <c r="D93" s="115" t="s">
        <v>4</v>
      </c>
      <c r="E93" s="116" t="s">
        <v>249</v>
      </c>
      <c r="F93" s="37" t="s">
        <v>250</v>
      </c>
      <c r="G93" s="38" t="s">
        <v>251</v>
      </c>
      <c r="H93" s="117" t="s">
        <v>252</v>
      </c>
      <c r="I93" s="40">
        <v>6500</v>
      </c>
      <c r="J93" s="40">
        <v>3750</v>
      </c>
      <c r="K93" s="73"/>
      <c r="L93" s="73"/>
      <c r="M93" s="73"/>
      <c r="N93" s="73">
        <v>2500</v>
      </c>
      <c r="O93" s="54">
        <v>0</v>
      </c>
      <c r="P93" s="54">
        <f>I93+J93-L93-O93+M93</f>
        <v>10250</v>
      </c>
      <c r="Q93" s="69" t="s">
        <v>476</v>
      </c>
      <c r="R93" s="130"/>
      <c r="S93" s="50"/>
    </row>
    <row r="94" spans="1:21" x14ac:dyDescent="0.35">
      <c r="A94" s="1">
        <v>70</v>
      </c>
      <c r="B94" s="187" t="s">
        <v>253</v>
      </c>
      <c r="C94" s="150" t="s">
        <v>491</v>
      </c>
      <c r="D94" s="35"/>
      <c r="E94" s="116" t="s">
        <v>253</v>
      </c>
      <c r="F94" s="50" t="s">
        <v>254</v>
      </c>
      <c r="G94" s="51" t="s">
        <v>255</v>
      </c>
      <c r="H94" s="50">
        <v>4829068</v>
      </c>
      <c r="I94" s="53">
        <v>6500</v>
      </c>
      <c r="J94" s="53">
        <v>3750</v>
      </c>
      <c r="K94" s="54"/>
      <c r="L94" s="54"/>
      <c r="M94" s="54"/>
      <c r="N94" s="54">
        <v>2500</v>
      </c>
      <c r="O94" s="54">
        <v>0</v>
      </c>
      <c r="P94" s="55">
        <f>I94+J94-L94-O94+M94</f>
        <v>10250</v>
      </c>
      <c r="Q94" s="150" t="s">
        <v>492</v>
      </c>
      <c r="R94" s="137"/>
      <c r="S94" s="50"/>
    </row>
    <row r="95" spans="1:21" ht="20.5" thickBot="1" x14ac:dyDescent="0.4">
      <c r="P95" s="201">
        <v>889077.41</v>
      </c>
    </row>
    <row r="96" spans="1:21" ht="20.5" thickTop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BVSG days Rest and leave</vt:lpstr>
      <vt:lpstr>BVSG Sites and Guards</vt:lpstr>
      <vt:lpstr>BVSG days Rest and leave Okt 20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Sebastiaan Steyn</dc:creator>
  <cp:lastModifiedBy>Chris De Vries</cp:lastModifiedBy>
  <cp:lastPrinted>2025-10-03T08:30:58Z</cp:lastPrinted>
  <dcterms:created xsi:type="dcterms:W3CDTF">2025-09-15T04:57:09Z</dcterms:created>
  <dcterms:modified xsi:type="dcterms:W3CDTF">2025-10-17T10:32:28Z</dcterms:modified>
</cp:coreProperties>
</file>